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enz\Downloads\"/>
    </mc:Choice>
  </mc:AlternateContent>
  <xr:revisionPtr revIDLastSave="0" documentId="8_{041CB5D6-9F8B-4D3A-AB40-DF21142EB935}" xr6:coauthVersionLast="47" xr6:coauthVersionMax="47" xr10:uidLastSave="{00000000-0000-0000-0000-000000000000}"/>
  <bookViews>
    <workbookView xWindow="-120" yWindow="-120" windowWidth="29040" windowHeight="15720" xr2:uid="{3036E01B-631B-4DA8-9AB6-CD1B77D776C6}"/>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38" i="1" l="1"/>
  <c r="O237" i="1"/>
  <c r="O236" i="1"/>
  <c r="O235" i="1"/>
  <c r="I235" i="1"/>
  <c r="O233" i="1"/>
  <c r="I233" i="1"/>
  <c r="O231" i="1"/>
  <c r="I231" i="1"/>
  <c r="O230" i="1"/>
  <c r="I230" i="1"/>
  <c r="O228" i="1"/>
  <c r="I228" i="1"/>
  <c r="O227" i="1"/>
  <c r="I227" i="1"/>
  <c r="O226" i="1"/>
  <c r="I226" i="1"/>
  <c r="O225" i="1"/>
  <c r="O224" i="1"/>
  <c r="I224" i="1"/>
  <c r="O223" i="1"/>
  <c r="O222" i="1"/>
  <c r="I222" i="1"/>
  <c r="O221" i="1"/>
  <c r="I221" i="1"/>
  <c r="O220" i="1"/>
  <c r="I220" i="1"/>
  <c r="O219" i="1"/>
  <c r="O218" i="1"/>
  <c r="I218" i="1"/>
  <c r="O217" i="1"/>
  <c r="O216" i="1"/>
  <c r="I216" i="1"/>
  <c r="O215" i="1"/>
  <c r="O214" i="1"/>
  <c r="O213" i="1"/>
  <c r="I213" i="1"/>
  <c r="O212" i="1"/>
  <c r="I212" i="1"/>
  <c r="O211" i="1"/>
  <c r="I211" i="1"/>
  <c r="O210" i="1"/>
  <c r="I210" i="1"/>
  <c r="O209" i="1"/>
  <c r="I209" i="1"/>
  <c r="O208" i="1"/>
  <c r="I208" i="1"/>
  <c r="O207" i="1"/>
  <c r="I207" i="1"/>
  <c r="O205" i="1"/>
  <c r="I205" i="1"/>
  <c r="O204" i="1"/>
  <c r="O203" i="1"/>
  <c r="I203" i="1"/>
  <c r="O202" i="1"/>
  <c r="O201" i="1"/>
  <c r="I201" i="1"/>
  <c r="O200" i="1"/>
  <c r="I200" i="1"/>
  <c r="O199" i="1"/>
  <c r="O198" i="1"/>
  <c r="I198" i="1"/>
  <c r="O197" i="1"/>
  <c r="I197" i="1"/>
  <c r="O196" i="1"/>
  <c r="I196" i="1"/>
  <c r="O195" i="1"/>
  <c r="O194" i="1"/>
  <c r="O193" i="1"/>
  <c r="O192" i="1"/>
  <c r="I192" i="1"/>
  <c r="O191" i="1"/>
  <c r="I191" i="1"/>
  <c r="O190" i="1"/>
  <c r="O189" i="1"/>
  <c r="O188" i="1"/>
  <c r="I188" i="1"/>
  <c r="O187" i="1"/>
  <c r="O186" i="1"/>
  <c r="O185" i="1"/>
  <c r="I185" i="1"/>
  <c r="O184" i="1"/>
  <c r="O183" i="1"/>
  <c r="O182" i="1"/>
  <c r="I182" i="1"/>
  <c r="O181" i="1"/>
  <c r="I181" i="1"/>
  <c r="O180" i="1"/>
  <c r="I180" i="1"/>
  <c r="O179" i="1"/>
  <c r="I179" i="1"/>
  <c r="O178" i="1"/>
  <c r="I178" i="1"/>
  <c r="O177" i="1"/>
  <c r="I177" i="1"/>
  <c r="O176" i="1"/>
  <c r="I176" i="1"/>
  <c r="O175" i="1"/>
  <c r="I175" i="1"/>
  <c r="O174" i="1"/>
  <c r="I174" i="1"/>
  <c r="O173" i="1"/>
  <c r="I173" i="1"/>
  <c r="O172" i="1"/>
  <c r="I172" i="1"/>
  <c r="I171" i="1"/>
  <c r="I170" i="1"/>
  <c r="I169" i="1"/>
  <c r="O168" i="1"/>
  <c r="I168" i="1"/>
  <c r="O167" i="1"/>
  <c r="I167" i="1"/>
  <c r="O166" i="1"/>
  <c r="I166" i="1"/>
  <c r="O165" i="1"/>
  <c r="I165" i="1"/>
  <c r="O164" i="1"/>
  <c r="I164" i="1"/>
  <c r="O163" i="1"/>
  <c r="I163" i="1"/>
  <c r="O162" i="1"/>
  <c r="I162" i="1"/>
  <c r="O161" i="1"/>
  <c r="I161" i="1"/>
  <c r="O159" i="1"/>
  <c r="I159" i="1"/>
  <c r="O158" i="1"/>
  <c r="I158" i="1"/>
  <c r="O157" i="1"/>
  <c r="I157" i="1"/>
  <c r="O156" i="1"/>
  <c r="O155" i="1"/>
  <c r="I155" i="1"/>
  <c r="O154" i="1"/>
  <c r="I154" i="1"/>
  <c r="O153" i="1"/>
  <c r="I153" i="1"/>
  <c r="O152" i="1"/>
  <c r="I152" i="1"/>
  <c r="O151" i="1"/>
  <c r="I151" i="1"/>
  <c r="O150" i="1"/>
  <c r="O149" i="1"/>
  <c r="I149" i="1"/>
  <c r="O148" i="1"/>
  <c r="I148" i="1"/>
  <c r="O147" i="1"/>
  <c r="I147" i="1"/>
  <c r="O146" i="1"/>
  <c r="I146" i="1"/>
  <c r="O145" i="1"/>
  <c r="I145" i="1"/>
  <c r="O144" i="1"/>
  <c r="I144" i="1"/>
  <c r="O143" i="1"/>
  <c r="O142" i="1"/>
  <c r="I142" i="1"/>
  <c r="O141" i="1"/>
  <c r="I141" i="1"/>
  <c r="O140" i="1"/>
  <c r="I140" i="1"/>
  <c r="O139" i="1"/>
  <c r="I139" i="1"/>
  <c r="O138" i="1"/>
  <c r="I138" i="1"/>
  <c r="O137" i="1"/>
  <c r="I137" i="1"/>
  <c r="O136" i="1"/>
  <c r="I136" i="1"/>
  <c r="O135" i="1"/>
  <c r="I135" i="1"/>
  <c r="O134" i="1"/>
  <c r="I134" i="1"/>
  <c r="O133" i="1"/>
  <c r="I133" i="1"/>
  <c r="O132" i="1"/>
  <c r="I132" i="1"/>
  <c r="O131" i="1"/>
  <c r="I131" i="1"/>
  <c r="O130" i="1"/>
  <c r="I130" i="1"/>
  <c r="O129" i="1"/>
  <c r="I129" i="1"/>
  <c r="O128" i="1"/>
  <c r="I128" i="1"/>
  <c r="O127" i="1"/>
  <c r="I127" i="1"/>
  <c r="O126" i="1"/>
  <c r="I126" i="1"/>
  <c r="O125" i="1"/>
  <c r="I125" i="1"/>
  <c r="O124" i="1"/>
  <c r="I124" i="1"/>
  <c r="O123" i="1"/>
  <c r="I123" i="1"/>
  <c r="O122" i="1"/>
  <c r="I122" i="1"/>
  <c r="O121" i="1"/>
  <c r="I121" i="1"/>
  <c r="O120" i="1"/>
  <c r="I120" i="1"/>
  <c r="O119" i="1"/>
  <c r="I119" i="1"/>
  <c r="O118" i="1"/>
  <c r="I118" i="1"/>
  <c r="O117" i="1"/>
  <c r="I117" i="1"/>
  <c r="O116" i="1"/>
  <c r="I116" i="1"/>
  <c r="O115" i="1"/>
  <c r="I115" i="1"/>
  <c r="O114" i="1"/>
  <c r="I114" i="1"/>
  <c r="O113" i="1"/>
  <c r="I113" i="1"/>
  <c r="O112" i="1"/>
  <c r="I112" i="1"/>
  <c r="O111" i="1"/>
  <c r="I111" i="1"/>
  <c r="O110" i="1"/>
  <c r="I110" i="1"/>
  <c r="O109" i="1"/>
  <c r="I109" i="1"/>
  <c r="O108" i="1"/>
  <c r="I108" i="1"/>
  <c r="O107" i="1"/>
  <c r="I107" i="1"/>
  <c r="O106" i="1"/>
  <c r="I106" i="1"/>
  <c r="O105" i="1"/>
  <c r="I105" i="1"/>
  <c r="O104" i="1"/>
  <c r="I104" i="1"/>
  <c r="O103" i="1"/>
  <c r="I103" i="1"/>
  <c r="O102" i="1"/>
  <c r="I102" i="1"/>
  <c r="O101" i="1"/>
  <c r="I101" i="1"/>
  <c r="O100" i="1"/>
  <c r="I100" i="1"/>
  <c r="O99" i="1"/>
  <c r="I99" i="1"/>
  <c r="O98" i="1"/>
  <c r="I98" i="1"/>
  <c r="O97" i="1"/>
  <c r="I97" i="1"/>
  <c r="O96" i="1"/>
  <c r="I96" i="1"/>
  <c r="O95" i="1"/>
  <c r="I95" i="1"/>
  <c r="O94" i="1"/>
  <c r="I94" i="1"/>
  <c r="O93" i="1"/>
  <c r="I93" i="1"/>
  <c r="O92" i="1"/>
  <c r="I92" i="1"/>
  <c r="O91" i="1"/>
  <c r="I91" i="1"/>
  <c r="O90" i="1"/>
  <c r="I90" i="1"/>
  <c r="O89" i="1"/>
  <c r="I89" i="1"/>
  <c r="O88" i="1"/>
  <c r="I88" i="1"/>
  <c r="O87" i="1"/>
  <c r="I87" i="1"/>
  <c r="O86" i="1"/>
  <c r="I86" i="1"/>
  <c r="O85" i="1"/>
  <c r="I85" i="1"/>
  <c r="I84" i="1"/>
  <c r="I83" i="1"/>
  <c r="I81" i="1"/>
  <c r="I80" i="1"/>
  <c r="I79" i="1"/>
  <c r="I78" i="1"/>
  <c r="O77" i="1"/>
  <c r="I77" i="1"/>
  <c r="O76" i="1"/>
  <c r="I76" i="1"/>
  <c r="O75" i="1"/>
  <c r="I75" i="1"/>
  <c r="O74" i="1"/>
  <c r="I74" i="1"/>
  <c r="I73" i="1"/>
  <c r="O72" i="1"/>
  <c r="I72" i="1"/>
  <c r="O71" i="1"/>
  <c r="I71" i="1"/>
  <c r="O70" i="1"/>
  <c r="I70" i="1"/>
  <c r="O68" i="1"/>
  <c r="I68" i="1"/>
  <c r="O67" i="1"/>
  <c r="I67" i="1"/>
  <c r="O66" i="1"/>
  <c r="I66" i="1"/>
  <c r="O65" i="1"/>
  <c r="I65" i="1"/>
  <c r="O64" i="1"/>
  <c r="I64" i="1"/>
  <c r="O63" i="1"/>
  <c r="I63" i="1"/>
  <c r="O62" i="1"/>
  <c r="I62" i="1"/>
  <c r="O61" i="1"/>
  <c r="I61" i="1"/>
  <c r="O60" i="1"/>
  <c r="I60" i="1"/>
  <c r="O59" i="1"/>
  <c r="I59" i="1"/>
  <c r="O58" i="1"/>
  <c r="I58" i="1"/>
  <c r="O57" i="1"/>
  <c r="I57" i="1"/>
  <c r="O56" i="1"/>
  <c r="I56" i="1"/>
  <c r="O55" i="1"/>
  <c r="O54" i="1"/>
  <c r="I54" i="1"/>
  <c r="O53" i="1"/>
  <c r="I53" i="1"/>
  <c r="O52" i="1"/>
  <c r="I52" i="1"/>
  <c r="O51" i="1"/>
  <c r="I51" i="1"/>
  <c r="O50" i="1"/>
  <c r="I50" i="1"/>
  <c r="O48" i="1"/>
  <c r="I48" i="1"/>
  <c r="O47" i="1"/>
  <c r="I47" i="1"/>
  <c r="O46" i="1"/>
  <c r="I46" i="1"/>
  <c r="O45" i="1"/>
  <c r="I45" i="1"/>
  <c r="O44" i="1"/>
  <c r="I44" i="1"/>
  <c r="O43" i="1"/>
  <c r="I43" i="1"/>
  <c r="O42" i="1"/>
  <c r="I42" i="1"/>
  <c r="O41" i="1"/>
  <c r="I41" i="1"/>
  <c r="O40" i="1"/>
  <c r="I40" i="1"/>
  <c r="O39" i="1"/>
  <c r="I39" i="1"/>
  <c r="O38" i="1"/>
  <c r="I38" i="1"/>
  <c r="O37" i="1"/>
  <c r="I37" i="1"/>
  <c r="O36" i="1"/>
  <c r="I36" i="1"/>
  <c r="O35" i="1"/>
  <c r="I35" i="1"/>
  <c r="O34" i="1"/>
  <c r="I34" i="1"/>
  <c r="O33" i="1"/>
  <c r="I33" i="1"/>
  <c r="O32" i="1"/>
  <c r="I32" i="1"/>
  <c r="O31" i="1"/>
  <c r="I31" i="1"/>
  <c r="O30" i="1"/>
  <c r="I30" i="1"/>
  <c r="O29" i="1"/>
  <c r="I29" i="1"/>
  <c r="O28" i="1"/>
  <c r="I28" i="1"/>
  <c r="O27" i="1"/>
  <c r="I27" i="1"/>
  <c r="O26" i="1"/>
  <c r="O25" i="1"/>
  <c r="I25" i="1"/>
  <c r="O24" i="1"/>
  <c r="I24" i="1"/>
  <c r="O23" i="1"/>
  <c r="I23" i="1"/>
  <c r="O22" i="1"/>
  <c r="I22" i="1"/>
  <c r="O21" i="1"/>
  <c r="I21" i="1"/>
  <c r="O20" i="1"/>
  <c r="I20" i="1"/>
  <c r="O19" i="1"/>
  <c r="I19" i="1"/>
  <c r="O18" i="1"/>
  <c r="I18" i="1"/>
  <c r="O17" i="1"/>
  <c r="I17" i="1"/>
  <c r="O16" i="1"/>
  <c r="I16" i="1"/>
  <c r="O15" i="1"/>
  <c r="I15" i="1"/>
  <c r="O14" i="1"/>
  <c r="I14" i="1"/>
  <c r="O13" i="1"/>
  <c r="I13" i="1"/>
  <c r="O12" i="1"/>
  <c r="I12" i="1"/>
  <c r="O11" i="1"/>
  <c r="I11" i="1"/>
  <c r="O10" i="1"/>
  <c r="I10" i="1"/>
  <c r="O9" i="1"/>
  <c r="I9" i="1"/>
  <c r="O8" i="1"/>
  <c r="I8" i="1"/>
  <c r="O7" i="1"/>
  <c r="I7" i="1"/>
  <c r="O6" i="1"/>
  <c r="I6" i="1"/>
  <c r="O5" i="1"/>
  <c r="I5" i="1"/>
  <c r="O4" i="1"/>
  <c r="I4" i="1"/>
  <c r="O3" i="1"/>
  <c r="I3" i="1"/>
  <c r="O2" i="1"/>
  <c r="I2" i="1"/>
  <c r="O1" i="1"/>
  <c r="I1" i="1"/>
</calcChain>
</file>

<file path=xl/sharedStrings.xml><?xml version="1.0" encoding="utf-8"?>
<sst xmlns="http://schemas.openxmlformats.org/spreadsheetml/2006/main" count="1911" uniqueCount="1051">
  <si>
    <t>HRD2026_001</t>
  </si>
  <si>
    <t>LAC Proposal Evaluation</t>
  </si>
  <si>
    <t>San Isidro NHS</t>
  </si>
  <si>
    <t>Enhancing Teaching Through Meaningful Feedback: Strengthening PPST 4.4.2 Practice</t>
  </si>
  <si>
    <t>SHS Ynares Building Room 1</t>
  </si>
  <si>
    <t>1. Meeting with me concern group - formulate and orient the role of every LAC tem member -creat a well - planned LAC session 2. Discussion on enhancing teaching through meaningful feedback anchored in PPST4.4.2 / Evaluate the session using M&amp;E tool / Identify areas for possible technical asistance</t>
  </si>
  <si>
    <t>Completed</t>
  </si>
  <si>
    <t>For Release</t>
  </si>
  <si>
    <t>HRD2026_002</t>
  </si>
  <si>
    <t>San Juan NHS</t>
  </si>
  <si>
    <t>Re-orientation on Student Discipline Procedures and Due Process: A LAC Session for Strengthening Schoolwide Discipline Systems</t>
  </si>
  <si>
    <t>SPJ- Special Program in Journalism Room</t>
  </si>
  <si>
    <t>1. Introduction and Overview of Student Discipline &amp; Due Process  2. Applying Discipline Procedures.  3. Challenges and Best Practices.  3. Challenges and best Practices . 4. Application of Disciplane Procedures through Case-Based Activities. 5. Closing remarks and other matters</t>
  </si>
  <si>
    <t>HRD2026_003</t>
  </si>
  <si>
    <t>Marcelino M. Santos NHS</t>
  </si>
  <si>
    <t xml:space="preserve">Filipino Department's LSC Sessions Searies / Empowering Teachers with digital tools and Literacy Solutions for engaged, Future-Ready Learners </t>
  </si>
  <si>
    <t>January 30, 2026 &amp; February 12, 2026</t>
  </si>
  <si>
    <t>GFS HALL</t>
  </si>
  <si>
    <t>1. Apply differentiated reading activities to effectively address the diverse needs of learners.                                                  2. Share best practices and reflect on classroom experiences to refine reading instruction.                                                3. Explore various gamified applications and digital tools suitable for classroom use.                                                    4. Integrate gamified ICT applications into teaching to enhance student engagement and improve learning outcomes.</t>
  </si>
  <si>
    <t xml:space="preserve">Claimed  </t>
  </si>
  <si>
    <t>HRD2026_004</t>
  </si>
  <si>
    <t>Sumilang ES</t>
  </si>
  <si>
    <t>Empowering Teachers: Sharing Best Practices in Classroom Management for Active Learning (PPST 2.3.3)</t>
  </si>
  <si>
    <t>Sumilang Es</t>
  </si>
  <si>
    <t>• Identify current classroom management practices and their impact on learner engagement                                               • Share and demonstrate effective techniques for organizing classroom structures.                                             • Explore strategies for facilitating meaningful individual and group activities.                                                            • Develop an action plan to implement classroom management practices.</t>
  </si>
  <si>
    <t>HRD2026_005</t>
  </si>
  <si>
    <t>Guiding Colleagues in Effective Resource Selection and Integration of ICT (PPST 4.5.3)</t>
  </si>
  <si>
    <t>Feb.4, 2026</t>
  </si>
  <si>
    <t xml:space="preserve">Sumilang ES </t>
  </si>
  <si>
    <t>• Explain the importance of guiding colleagues in selecting and using appropriate teaching and learning resources, including ICT, to achieve learning goals.                                                                              • Demonstrate strategies for integrating ICT tools into teaching and learning to enhance engagement and outcomes.                                                                                                                      • Collaborate with peers to develop and organize resources that support specific learning objectives.                                                                                                                                         • Create an action plan for advising and supporting colleagues in resource selection and ICT integration in their own teaching contexts.</t>
  </si>
  <si>
    <t>The Evaluator was unavailable / For Release</t>
  </si>
  <si>
    <t>HRD2026_006</t>
  </si>
  <si>
    <t>Collaborative Reflection and Feedback for effective Teaching (PPST 4.4.3)</t>
  </si>
  <si>
    <t>• Identify effective strategies for gathering and using feedback from colleagues and learners                                              • Share insights and best practices within a professional learning community to promote continuous improvement.                                                        • Develop an action plan to apply feedback and reflection in planning and enriching future lessons.</t>
  </si>
  <si>
    <t>Claimed By: Sir Gavino</t>
  </si>
  <si>
    <t>HRD2026_007</t>
  </si>
  <si>
    <t>Collaborative Approaches to address Learner Differences through Developmentally Appropriate Practices (PPST 3.1.3)</t>
  </si>
  <si>
    <t>Jan. 27,2026</t>
  </si>
  <si>
    <t>• Identify learner differences and their impact on classroom instruction.                                                    • Share best practices for differentiated and developmentally appropriate teaching.                                                  • Collaborate with colleagues to design strategies that address diverse learner needs.                                           • Develop an actiion plan for implementing these strategies in the classroom.</t>
  </si>
  <si>
    <t>HRD2026_008</t>
  </si>
  <si>
    <t>Tanza ES</t>
  </si>
  <si>
    <t>Building Nurturing Classrooms that Inspire Learners to Participate, Cooperate, and Collaborate</t>
  </si>
  <si>
    <t>at Grade 3 Room</t>
  </si>
  <si>
    <t>a. understand the principles of maintaining a nurturing and inspiring learning environment                                         b. identifies effective strategies that encourage learners to actively participate and collaborate                                                                 c. reflects on their current classroom practices and plan for improvements to sustain a positive learning atmosphere</t>
  </si>
  <si>
    <t>HRD2026_009</t>
  </si>
  <si>
    <t>Designing Differentiated and Developmentally Appropriate Learning Experiences to Address Learners' Gender, Needs, Strengths, Interests,and Experiences</t>
  </si>
  <si>
    <t>Tanza ES / ICT Room</t>
  </si>
  <si>
    <t xml:space="preserve">a. discuss various differentiation approaches (content, process, product, learning environment)                                                                                                                                                   b. design differentiated and developmentally appropriate learning activities that address learners' gender, needs, strengths, interests, and experiences                                                                                                                c. apply inclusive and learner-centered strategies aligned with PPST 3.1.2 in their lesson planning and clasroom practices                                                                                                         d. produce a sample differentiated lesson plan/activity as evidence of improved instructional competence. </t>
  </si>
  <si>
    <t>For Release/ Claimed by: Allan Dale Mariñas</t>
  </si>
  <si>
    <t>HRD2026_010</t>
  </si>
  <si>
    <t>Dela Paz NHS</t>
  </si>
  <si>
    <t xml:space="preserve">Teaching With Impact: Managing Classrooms and Resources for Active Learning </t>
  </si>
  <si>
    <t>Jan. 16, 2026</t>
  </si>
  <si>
    <t>SBM Conference Room</t>
  </si>
  <si>
    <t>1. Analyze classroom management strategies that promote exploration, collaboration, and hands-on learning in diverse physical learning environments (PPST 2.3.2).                                                                                                    2. Select, organize, and adapt teaching and learning resources, including ICT tools, that align with specific learning objectives and instructional goals (PPST 4.5.2).                                                                          3. Appreciate the importance of applying practical techniques that integrate classroom management approaches with effective resource use to create engaging and meaningful science lessons.                                                                                                                                                          4. Reflect on and evaluate their current classroom practices to identify areas for improvement in learner engagement and resource integration.</t>
  </si>
  <si>
    <t>For Release/ Nucleilee T. Mariño</t>
  </si>
  <si>
    <t>HRD2026_011</t>
  </si>
  <si>
    <t>Kaila ES</t>
  </si>
  <si>
    <t>Re- Imagining Teacher Excellence: A Journey Toward Reflective Beliefs,Research-PedagogicalExpertise,nadTransformative Instructional PracticesforEnhanced Professional Competencies</t>
  </si>
  <si>
    <t>Jan.26-30, 2026</t>
  </si>
  <si>
    <t xml:space="preserve">• To encourage teachers to reflect on their teaching beliefs, values, and assumptions and identify those that need to be strengthened, challenged, or reframed;                                                                                       • To help teachers analyze and apply research-based pedagogical frameworks such as UDL, UbD, GRR, TPACK, and Visible-learning;                                                                                                     • To enable teachers to demonstrate enhanced competence in instructional strategies, learner engagement techniques, assessment practices, and classroom management;                                            • To capacitate teachers to design collaboratively transformed instructional plan or strategy that is responsive, inclusive, and evidence-based; and                                               • To help/ capacitate teachers to develop an actionable professional growth plan to sustain improved pedagogical practices.                                                                               </t>
  </si>
  <si>
    <t>HRD2026_012</t>
  </si>
  <si>
    <t xml:space="preserve">On Point in Practice: Linking Classroom Observation Indicators for Improving Lesson Planning , Instructions and on Time Lesson Completion </t>
  </si>
  <si>
    <t>Jan. 23, 2026</t>
  </si>
  <si>
    <t>Phase 1: Planning and Design Phase 2: Module Developmental (Request for Resource Person and Presentation Materials) Phase 3: Implementation  Phase4: Documentation, Assessmn, and Evaluation</t>
  </si>
  <si>
    <t>HRD2026_013</t>
  </si>
  <si>
    <t xml:space="preserve">Crafting Quality Assessments: ALACSession on Effective Test Construction </t>
  </si>
  <si>
    <t>at Conference Room</t>
  </si>
  <si>
    <t>1. explain key concepts and principles of quality test construction.                                                                                               2. craft a short assessment/quiz following proper test construction guidelines.                                                                             3. critique sample test items and revise them for clarity, alignment, and difficulty level.</t>
  </si>
  <si>
    <t>Claimed</t>
  </si>
  <si>
    <t>HRD2026_014</t>
  </si>
  <si>
    <t>ICT- Enhanced Strategies for Literacy, Numeracy, and Engagement in Araling Panlipunan</t>
  </si>
  <si>
    <t>Jan. 23, 2026 - February 12, 2026</t>
  </si>
  <si>
    <t>GFS Room</t>
  </si>
  <si>
    <t>1. Craft an analysis report highlighting the priority needs of teachers in terms of their knowledge, skills, attitudes, and values (KSAVs).                                              2. Identify the teachers' priority development needs by focusing on the areas highlighted as most critical in their Individual Development Plan (IDP) on E-SAT.</t>
  </si>
  <si>
    <t>HRD2026_015</t>
  </si>
  <si>
    <t>Apia Integrated School</t>
  </si>
  <si>
    <t>Walang maiiwan sa Laylayan': A Story of Last Mile School on MultiGrade Students</t>
  </si>
  <si>
    <t>HRD2026_016</t>
  </si>
  <si>
    <t>Antipolo NHS</t>
  </si>
  <si>
    <t>The Master Teachers' Craft as a Classroom Teacher and Instructional supervisor</t>
  </si>
  <si>
    <t>Jan. 28-29, 2026</t>
  </si>
  <si>
    <t>at ANHS JICA Conference Hall</t>
  </si>
  <si>
    <t>1. Identify and internalize the PPST indicators for Master Teachers (Career Stage 3 and 4) and their applications to classroom instruction and mentoring;                                                                                      2. Apply effective techniques in developing and using Performance Monitoring and Coaching Forms (PMCF) for peer mentoring                                                                                                                                                     3. Develop a comprehensive Individual Supervision Plan (ISP) aligned with the needs of their assigned mentees;                                                                                                                                                                          4. Determine teaching strategies to improve conduct of differentiated instruction;                                                                                        5. Demonstrate strategies for providing evidence-based technical assistance during lesson observations and post-conferences;                                                                                                                                             6. Reflect on their roles as instructional supervisors and align their professional growth goals to the PMES-PPST multi-year targets.</t>
  </si>
  <si>
    <t>HRD2026_017</t>
  </si>
  <si>
    <t>Peñafrancia ES Annex</t>
  </si>
  <si>
    <t>Slac Session on Crafting of monitoring and Evaluation (M&amp;E ) Tool on Different Activities</t>
  </si>
  <si>
    <t>Jan. 8, 2026</t>
  </si>
  <si>
    <t>• Explain the concepts and importance of Monitoring and Evaluation (m&amp;e).                                       • Identify key components of an effective M&amp;E system.                                                                                                                                  • Craft a sample M&amp;E tool for a school or classroom project.</t>
  </si>
  <si>
    <t>HRD2026_018</t>
  </si>
  <si>
    <t>Peñafrancia ES</t>
  </si>
  <si>
    <t xml:space="preserve">School Learning Ction Cell (SLAC) Session on the Use of ICT in Teaching and Learning </t>
  </si>
  <si>
    <t>Jan. 12,2026</t>
  </si>
  <si>
    <t>New Building 2nd Floor ELLN Room</t>
  </si>
  <si>
    <t>• Gain practical knowledge on ICT tools for assessment, reporting, and instructional design                                         • Develop skills in creating ICT-based learning resources aligned with the Philippine Professional Standards for Teachers (PPST) Indicator 4.5.3.                                              • Foster collaboration and peer coaching to ensure sustainable ICT integration across grade levels and subject areas.</t>
  </si>
  <si>
    <t>For Release/ Claimed by: Mam Cricelyn Magamong</t>
  </si>
  <si>
    <t>HRD2026_019</t>
  </si>
  <si>
    <t>Interactive Presentation Activities on Mathematical Literacy and numeracy</t>
  </si>
  <si>
    <t>January 30, 2026 and Feb. 6, 2026</t>
  </si>
  <si>
    <t>1. Identify the different interactive powerpoint presentations.                                          2. Understand how interactive presentations helps improve teaching and learning process.                                       3. Think about teaching strategies using interactive presentations and how to improve them in everyday lesson.                                                  4. Apply any of the following interactive powerpoint presentation activities to improve teaching performance and increase the learning outcomes.</t>
  </si>
  <si>
    <t>HRD2026_020</t>
  </si>
  <si>
    <t>Inuman ES</t>
  </si>
  <si>
    <t>School LAC Session on the Roll out on P.R.A.C.T.I.C.A.L: Promoting Reflective and colaborative Teaching to Inspire Creative, Analytical Thinking and Imagining for Learning Excellence Through CPA ( Content, Pedagogy, Assessment)</t>
  </si>
  <si>
    <t>Jan. 27,28, and 29, 2026</t>
  </si>
  <si>
    <t>SBM AREA</t>
  </si>
  <si>
    <t>1. Explain the key components of the CPA framework and the PRACTICAL approach, including reflective and collaborative teaching strategies that foster creative and analytical thinking.                                         2. Demonstrate the ability to design learner-centered lessons that integrate content knowledge, effective pedagogy, and appropriate assessment aligned aith learning objectives for Grades 1-3.                                                                  3. Analyze classroom and learner performance data to identify learning gaps and inform instructional decisions in literacy and numeracy.</t>
  </si>
  <si>
    <t>For Release/ Claimed</t>
  </si>
  <si>
    <t>HRD2026_021</t>
  </si>
  <si>
    <t>Cupang NHS</t>
  </si>
  <si>
    <t>(Plan, Develop &amp; Implement )  From Plan to Practice: Developing LAC Proposals, Monitoringand Evaluation Tool Anchored on AIP and School Financial planning</t>
  </si>
  <si>
    <t>Jan. 22-23, 2026</t>
  </si>
  <si>
    <t>E- Classroom</t>
  </si>
  <si>
    <t>1. Strengthen the professional growth and continue the career advancement.                                                 2. Allow teachers to develop their skills, gain new competencies, and advance in their profession.                                               3. Craft an analysis repport highlighting the priority needs of head teachers in terms of their knowledge skills, attitudes, and values (KSAVs)                                              4. Identify the priority development needs of teachers based from consolidated subject development needs reflected in the IPCRF specifically the functional competencies of teachers                                                     5. Strengthen teachers' professional practice by continuously adapting instructional approaches based on updated research.</t>
  </si>
  <si>
    <t>HRD2026_022</t>
  </si>
  <si>
    <t>To Enhance and strengthen Teacher's competence in teaching through the use of the Different Teaching Strategies</t>
  </si>
  <si>
    <t>Jan. 13, 2026</t>
  </si>
  <si>
    <t>School's ICT Room</t>
  </si>
  <si>
    <t>• enhance teachers' competence in using various teaching strategies                                           • re-skill teachers in teaching-learning strategy                                                                        • develop familiarity with the different teaching strategies                                                      • promote appreciation of the value and impact of using diverse teaching strategies in the classroom</t>
  </si>
  <si>
    <t>Claimed by: Allan Dale Mariñas</t>
  </si>
  <si>
    <t>HRD2026_023</t>
  </si>
  <si>
    <t>Peace Village ES</t>
  </si>
  <si>
    <t xml:space="preserve">Promotion of Professionalism in the Implementation of Basic Education Programs and services </t>
  </si>
  <si>
    <t xml:space="preserve">Grade 1 - Hallway </t>
  </si>
  <si>
    <t>Phase 1- Planning and Design  Phase 2- Module Developoment ( Request for Resource and Presentation Materials) Phase 3-Implementation  Phase 4_ Documentation  Assessment anfd Evaluation</t>
  </si>
  <si>
    <t>HRD2026_024</t>
  </si>
  <si>
    <t>Empowering Teachers: Building a Positive and Productive Classroom</t>
  </si>
  <si>
    <t>Jan.9, 2026</t>
  </si>
  <si>
    <t>Phase 1- Palnning and Design Phase 2- Development of Slide Presentation / Materials  Phase-3: Implementation Phase 4: Documentation assessment and Evaluation</t>
  </si>
  <si>
    <t>HRD2026_025</t>
  </si>
  <si>
    <t>Strengthening collaborative practices in providing differentiated and developmentally appropriate learning opportunities ( PPST 3.1.3)</t>
  </si>
  <si>
    <t>Kindergarten room</t>
  </si>
  <si>
    <t>Phase 1: Plannimg and Design  Phase 2: Development of Slide Presentation/ materials  Phase 3: Implementation phase 4: Documentation  Assessment nd Evaluation</t>
  </si>
  <si>
    <t>HRD2026_026</t>
  </si>
  <si>
    <t>Mayamot NHS</t>
  </si>
  <si>
    <t>Learning Together : The ALS Team Project</t>
  </si>
  <si>
    <t xml:space="preserve">Jan. 24, 2026 / Feb. 28, 2026 </t>
  </si>
  <si>
    <t>no rating, not applicable</t>
  </si>
  <si>
    <t>HRD2026_027</t>
  </si>
  <si>
    <t>Mayamot ES</t>
  </si>
  <si>
    <t xml:space="preserve">School Learning Action cell among Key stage 1 Teacher on the mastering the CPA TRIAD: Empowering Mathematics Teachers Through content, Pedagogy, andAssessment Redefined </t>
  </si>
  <si>
    <t xml:space="preserve">Jan. 19 to 23, 2026 </t>
  </si>
  <si>
    <t>DLRC of Mayamot  ES</t>
  </si>
  <si>
    <t>Session 1: Where We Stand: Insights from our KS 1 Performance/ Understanding the CPA Triad in Early Mathematics Session 2: Strengthening Content Knowledge and          Pedagogy in Foundational Mathematics : Number and Algebra: Basic Concepts Session 3: Strengthening Content Knowledge and Pedagogy in                                                      Foundational  Mathematics: Number and  algebra - Word  Problems Session 4: Strengthening Content Knowledge and Pedagogy in Foundational Mathematics: Measurement and Geometry</t>
  </si>
  <si>
    <t>HRD2026_028</t>
  </si>
  <si>
    <t xml:space="preserve">Theme: Driving Innovation from Evidence toAction: Research Solutions for Prioirity improvement and educational Excellence </t>
  </si>
  <si>
    <t>Feb. 21, 2026</t>
  </si>
  <si>
    <t>ANHS Conference Hall</t>
  </si>
  <si>
    <t>Signature of Sir Chief not HRD</t>
  </si>
  <si>
    <t>HRD2026_029</t>
  </si>
  <si>
    <t>Dalig NHS</t>
  </si>
  <si>
    <t>School Learning Action cell on Enhancing Teaching and Learning through microsoft 365: Leveraging microsoft forms for effective Resource management and collaborative feedback</t>
  </si>
  <si>
    <t>January 8 and 9, 2026</t>
  </si>
  <si>
    <t xml:space="preserve">Senior High School Computer Laboratory 3rd floor </t>
  </si>
  <si>
    <t>HRD2026_030</t>
  </si>
  <si>
    <t>San Antonio Village ES</t>
  </si>
  <si>
    <t xml:space="preserve">Capaity Building of Teachers on Practice in collegial Discussions that use Teacher and Learner feedback to Enrich Teaching Practice </t>
  </si>
  <si>
    <t>Jan. 16, and 30, 2026</t>
  </si>
  <si>
    <t>HRD2026_031</t>
  </si>
  <si>
    <t>Capacity Building of Teachers on PPST Indicator 4.4.2 participated in collegial Discussion that use Teacher and Learner Feedback to Enrich Teaching Practice</t>
  </si>
  <si>
    <t xml:space="preserve">Jan. 16, and 30, 2026 </t>
  </si>
  <si>
    <r>
      <rPr>
        <sz val="11"/>
        <color rgb="FF000000"/>
        <rFont val="Calibri"/>
        <family val="2"/>
      </rPr>
      <t xml:space="preserve">1. </t>
    </r>
    <r>
      <rPr>
        <sz val="8"/>
        <color rgb="FF000000"/>
        <rFont val="Calibri"/>
        <family val="2"/>
      </rPr>
      <t>Strengthen understanding of PPST on teaching strategies on PPST Indicator 4.4.2 Participated in Collegial Discussion that Use Teacher and Learner Feedback to Enrich Teaching Practice                                            2. coaching and mentoring strategies for teachers' professional development;                                   3. crafting of lesson exemplar that enhances teaching strategies on Participating in Collegial Discussion that Use Teacher and Learner Feedback to Enrich Teaching Practice; and                                       4. write reflections on teaching strategies that will help develop and be used in a lesson plan.</t>
    </r>
  </si>
  <si>
    <t>HRD2026_032</t>
  </si>
  <si>
    <t>HRD2026_033</t>
  </si>
  <si>
    <t>Bagong Nayon II ES</t>
  </si>
  <si>
    <t>The Equity Engine: Guiding Teachers Toward Responsive Instructional Mastery</t>
  </si>
  <si>
    <t>Feb. 3-4, and 10-11, 2026</t>
  </si>
  <si>
    <t>ICT Room</t>
  </si>
  <si>
    <t xml:space="preserve">*Classroom Teachers (Beginning Leading to Proficient ), Master  Teachers  Session 1: The Qhy and the what * Review of Deped Order No. 32, s. 2017 (Gender Responsive Education) * The Matatag Framework on Inclusivity *Identifying Learner Diversity ( Needs Analysis)  Session 2: Decoding Diferrentiation Session 3: Gender fair &amp; Inclusive Materials  Session 4: Assessment for all  Session 5: Workshop &amp; Simulation </t>
  </si>
  <si>
    <t>HRD2026_034</t>
  </si>
  <si>
    <t>School LAC Session Cultivating Teacher-Leaders: A Training Program for Master Teachers</t>
  </si>
  <si>
    <t>Jan. 28, 2026 Feb. 4,11,18 and 25, 2026 and March 14,11 and 18, 2026</t>
  </si>
  <si>
    <t>School LRC</t>
  </si>
  <si>
    <t xml:space="preserve">*Understanding Modern Instructional Supervision * Models of Instructional Supervision *Tailoring Instructional Supervisory Approaches * Ethical Consideraions in Supervision * Systematic Data Collection Methods during Observation  * Constructive and objective Feedback * Developing Skills in Delivering Feedback * Analyzing Pupil Performance Data * Innovative Assesment Approaches * Nentoring and Coaching Techniques  * Simulation * Master Teachers as Influential Leaders in the School  * Facilitation Skills * Designing and Facilitating Professional Development </t>
  </si>
  <si>
    <t>Claimed / 1-26-2026</t>
  </si>
  <si>
    <t>HRD2026_035</t>
  </si>
  <si>
    <t>Isaias S. Tapales ES</t>
  </si>
  <si>
    <t>L&amp;D Program design and Proposal on School LAC Session Entitled: Strengthening Instructional Parctices through Peer Evaluation in Literacy and numeracy (PPST 1.4.3)</t>
  </si>
  <si>
    <t xml:space="preserve">Jan. 30, 2026 </t>
  </si>
  <si>
    <t>at ISTES School Corridor LEDBuilding</t>
  </si>
  <si>
    <t>1. Identify current teaching strategies used in literacy and numeracy instruction within participants' classrooms.                                                 2. Analyze the effectiveness of these strategies based on learner performance data and classroom observations.                                                3. Share best practices and innovative approaches that have successfully improved literacy and numeracy achievement.                                                        4. Collaborate with colleagues to determine areas for improvement and adapt strategies to meet diverse learner needs.                                                                    5. Develop an action plan for implementing refined strategies to enhance literacy and numeracy outcomes.</t>
  </si>
  <si>
    <t>HRD2026_036</t>
  </si>
  <si>
    <t>L&amp;D Program Design and Proposal on school LAC Session Entitled: Empowering Teachers: Sharing Best Practices in Classroom Management for Active Learning (PPST 2.3.3)</t>
  </si>
  <si>
    <t>Feb.2, 2026</t>
  </si>
  <si>
    <t>• Identify current classroom management practices and their impact on learner engagement                                               • Share and demonstrate effective techniques for organizing classroom structures.                                                                                    • Explore strategies for facilitating meaningful individual and group activities.                                                   • Develop an action plan to implement improved classroom management practices.</t>
  </si>
  <si>
    <t>HRD2026_037</t>
  </si>
  <si>
    <t>L&amp;D Program Design and Proposal on SchoolLAC Session Entitled; Guiding Colleagues in Effective Resource Selection and Integration of ICT ( PPST 4.5.3)</t>
  </si>
  <si>
    <t>Feb. 13, 2026</t>
  </si>
  <si>
    <t>a. Explain the importance of guiding colleagues in selecting and using appropriate teaching and learning resources, including ICT, to achieve learning goals                                                       b. Demonstrate strategies for integrating ICT tools into teaching and learning to enhance engagement and outcomes                                   c. Collaborate with peers to develop and organize resources that support specific learning objectives                                                d. Create an action plan for advising and supporting colleagues in resource selection and ICT integration in their own teaching contexts.</t>
  </si>
  <si>
    <t>HRD2026_038</t>
  </si>
  <si>
    <t>L&amp;D Program Design and Proposal on School Session entitled: Collabortive Approaches to address Learner Differences through Developmentally Appropriate Parctices (PPST 3.1.3)</t>
  </si>
  <si>
    <t>Jan. /Feb.4, 2026</t>
  </si>
  <si>
    <t>a. Identify learner differences and their impact on classroom instruction                                    b. Share best practices for differentiated and developmentally appropriate teaching                                                                          c. Collaborate with colleagues to design strategies that address diverse learner needs                                                                       d. Develop an action plan for implementing these strategies in the classroom.</t>
  </si>
  <si>
    <t>HRD2026_039</t>
  </si>
  <si>
    <t>L&amp;D Program Design and {Proposal on School LAC Session Entitled: Collaborative Reflection and Feedback for Effective Teaching (PPST4.4.3)</t>
  </si>
  <si>
    <t>Feb. 11, 2026</t>
  </si>
  <si>
    <t>a. Explain the importance of collaborative reflection and feedback in improving teaching practices based on PPST 4.4.3                                                     b. Identify effective strategies for gathering and using feedback from colleagues and learners                                          c. Share insights and best practices within a professional learning community to promote continuous improvement                                 d. Develop an action plan to apply feedback and reflection in planning and enriching future lessons.</t>
  </si>
  <si>
    <t>HRD2026_040</t>
  </si>
  <si>
    <t>L&amp;D Program Design and Proposal on School LAC Session Entitled: Collaborative Review of Assessment Strategies for Effective Learning (PPST 5.1.3)</t>
  </si>
  <si>
    <t>Feb. 17, 2026</t>
  </si>
  <si>
    <t>a. Explain the importance of collaborative review in improving assessment practices aligned with PPST 5.1.3                                           b. Differentiate diagnostic, formative, and summative assessments and their roles in supporting student learning                                                 c. Analyze existing assessment tools and strategies to determine their effectiveness and alignment with learning goals                                                                       d. Collaborate with colleagues to refine and organize assessment strategies for improved validity, reliability, and fairness.</t>
  </si>
  <si>
    <t>HRD2026_041</t>
  </si>
  <si>
    <t>L&amp;D Program Design and Proposal on School LAC Session Entitled: Promoting Learner-centered Teaching Philosophy (PPST 7.1.3)</t>
  </si>
  <si>
    <t>Feb. 20, 2026</t>
  </si>
  <si>
    <t>a. Identify key principles and practices that reflect a learner-centered approach in classroom instruction                                          b. Demonstrate strategies for integrating learner-centered principles into lesson planning, teaching, and assessment                                             c. Collaborate with colleagues to share best practices and provide guidance in enhancing learner-centered teaching                                      d. Develop an action plan to strengthen their own learner-centered philosophy and aupport peers in applying it effectively.</t>
  </si>
  <si>
    <t>HRD2026_042</t>
  </si>
  <si>
    <t>L&amp;D Program Design and Proposal on School LAC Session Entitled: Collaborative Interpretation of Monitoring and Evaluation Data to Support Learner Progress( PPST 5.2.3)</t>
  </si>
  <si>
    <t>a. Explain the importance of monitoring and evaluation strategies in supporting learner progress and achievement                                               b. Identify different types of attainment data and their role in tracking student performance                                                                  c. Discuss effective approaches for interpreting monitoring and evaluation data collaboratively with colleagues                                                   d. Analyze sample attainment data to identify trends, gaps, and areas for improvement                                                            e. Develop strategies and action plans based on interpreted data to enhance learner progress and achievement.</t>
  </si>
  <si>
    <t>HRD2026_043</t>
  </si>
  <si>
    <t>Capacity Building of Teachers on PPST Indicator 4.4.2 Participated in collegial Discussion that use teacher and Learner feedback to Enrich teaching Practice</t>
  </si>
  <si>
    <t>1. Strengthen understanding of PPST on teaching strategies on PPST Indicator 4.4.2 Participated in Collegial Discussion that Use Teacher and Learner Feedback to Enrich Teaching Practice                                            2. coaching and mentoring strategies for teachers' professional development;                                   3. crafting of lesson exemplar that enhances teaching strategies on Participating in Collegial Discussion that Use Teacher and Learner Feedback to Enrich Teaching Practice; and                                       4. write reflections on teaching strategies that will help develop and be used in a lesson plan.</t>
  </si>
  <si>
    <t>HRD2026_044</t>
  </si>
  <si>
    <t>Capacity Building of Teachers on PPST 4.4.2 Practices in Collegial Discussions that use Teacher and Learners Feedback to Enrich Teaching Practices VIA School- Based Learning Action Cell</t>
  </si>
  <si>
    <t>HRD2026_045</t>
  </si>
  <si>
    <t>Capacity Building of Teachers on PPST Indicator 4.4.2 Participated in Collegial Discussion that use Teacher and Learner Feedback to Enrich Teaching Practice</t>
  </si>
  <si>
    <t>Jan. 16, and 30, 2027</t>
  </si>
  <si>
    <t>HRD2026_046</t>
  </si>
  <si>
    <t>Kaysakat ES</t>
  </si>
  <si>
    <t>School LAC Session on Multi-Year Performance Management and System (PMES) 2025-2026 with focus on instructional supervision and Classroom Observation Process and indicators</t>
  </si>
  <si>
    <t>Jan. 29-30,2026</t>
  </si>
  <si>
    <t>Grade 6 Rizal Room</t>
  </si>
  <si>
    <t xml:space="preserve">* Walkthrough of the PMES 2025-2026 Guidelines  * Walkthrough of the COT for Teachers </t>
  </si>
  <si>
    <t>HRD2026_047</t>
  </si>
  <si>
    <t>School Learning Action Cell (SLAC) on the "ABC to Mastery:  Enhancing Teachers' competence in crafting Higher order thinking skills (HOTS) Question</t>
  </si>
  <si>
    <t>Feb. 5-6, 2026</t>
  </si>
  <si>
    <t>at SBM Area</t>
  </si>
  <si>
    <t>* Introduction to Higher order Thinking skills (HOTS) *Bloom's Revised Taxonomy and cognitive Levels * Common Challenges in Classroom Questioning  *Introduction to Higher Order Thinking skills (HOTS) * Bloom's revised Taxonomy and cognitive levels * Common Challenges in Classroom Questioning *Constructing HOTS Based Questions * Analyzing and validting HOTS Questions Items * Application of HOTS Questions in Lesson Planning and Assessment * Constructing HOTS- Based Questions * Analyzing and Validating HOTS Questions Items * Application of HOTS Question of HOTS Questions in Lesson Planning and Assessment</t>
  </si>
  <si>
    <t>HRD2026_048</t>
  </si>
  <si>
    <t>Strengthening Instructional Delivery: A LAC Session for Grade 2 and 5 Teachers of Tanza ES</t>
  </si>
  <si>
    <t>Feb. 12-13, 2026</t>
  </si>
  <si>
    <t xml:space="preserve">Topic 1: Strengthening Instructional Delivery: a LAC Session for Grade 2 and 5 Teachers of Tanza ES </t>
  </si>
  <si>
    <t>Forwarded to OSDS</t>
  </si>
  <si>
    <t>HRD2026_049</t>
  </si>
  <si>
    <t>1. To utilize classroom observation indicators to enhance the quality and alignment of lesson planning with curriculum standards and learning objectives.                                                         2. To improve instructional effectiveness by using observation feedback to strengthen teaching strategies, student engagement, and clarity of instructions.                                                        3. To promote timely lesson completion by applying observation data to improve instructional pacing and classroom time management.</t>
  </si>
  <si>
    <t>HRD2026_050</t>
  </si>
  <si>
    <r>
      <t xml:space="preserve">Start with the end mind : a Collaborative LAC Approach on CLT, HOTS, and Differentiated Literacy Tasks / </t>
    </r>
    <r>
      <rPr>
        <b/>
        <sz val="9"/>
        <color rgb="FF000000"/>
        <rFont val="Calibri"/>
        <family val="2"/>
      </rPr>
      <t>Bernadette M. Songalia</t>
    </r>
  </si>
  <si>
    <t>Nov. 2025, Dec. 2025/ January 2026, / Jan.16, 2026, Jan. 23, 2026 Jan. 30, 2026, Feb.- March 2026</t>
  </si>
  <si>
    <t>1. Principles of Backward Design Framework 2. Principles of Communicative Language  teaching 3. Principles of HOTS-based tasks and differetiated instruction 4. Application of Learning and Integrating CLT strategies, HOTS-based activities, nd differentiated tasks Aligned with learner needs in the lesson</t>
  </si>
  <si>
    <t>HRD2026_051</t>
  </si>
  <si>
    <t>San Isidro ES</t>
  </si>
  <si>
    <t>Literacy in action: Effective Strategies for Teaching Reading Aligned to Indicator 3.1.4</t>
  </si>
  <si>
    <t>January 29-30, 2026</t>
  </si>
  <si>
    <t xml:space="preserve">Session 1- Understand and Demonstrate Literacy Strategies / session 2- Apply Literacy Strategies </t>
  </si>
  <si>
    <t>Claimed By: Arvin  Romasanta</t>
  </si>
  <si>
    <t>HRD2026_052</t>
  </si>
  <si>
    <t>Reinforcing the Monitoring, Validation, and Tracking of Learners' Reading Progress</t>
  </si>
  <si>
    <t>Grade 6 Shakespeare room</t>
  </si>
  <si>
    <t xml:space="preserve">Claimed by: Allan Dale </t>
  </si>
  <si>
    <t>HRD2026_053</t>
  </si>
  <si>
    <t>Cupang ES</t>
  </si>
  <si>
    <t>SLAC On: Learning  Recovery in Literacy and Numeracy in Selected Grade Four Teachers "</t>
  </si>
  <si>
    <t>Jan.9, 2026 ,  Feb. 9, 2026 , March 9, -20, 2026</t>
  </si>
  <si>
    <t>ICT ROOM</t>
  </si>
  <si>
    <t>1. Least mastered competencies in Literacy and numeracy 2. Appropriate learning activities and varioud assessment strategies for learning recovery in literacy and numeracy 3. Ensuring Teachers of their rights and responibilities under Deped policies 4. Strengthening integrity and professionalism in the teaching profession</t>
  </si>
  <si>
    <t>HRD2026_054</t>
  </si>
  <si>
    <t>GAD Proposal Evaluation</t>
  </si>
  <si>
    <t xml:space="preserve">We for Gender Equality and Inclusive Society </t>
  </si>
  <si>
    <t>Feb. 7 to March 13, 2026</t>
  </si>
  <si>
    <r>
      <t xml:space="preserve">Women Talks (Women Empowerment video) and Photography Contest.  </t>
    </r>
    <r>
      <rPr>
        <sz val="9"/>
        <color rgb="FF000000"/>
        <rFont val="Calibri"/>
        <family val="2"/>
      </rPr>
      <t>*</t>
    </r>
    <r>
      <rPr>
        <sz val="9"/>
        <color rgb="FF000000"/>
        <rFont val="Calibri"/>
        <family val="2"/>
      </rPr>
      <t xml:space="preserve"> School-Based Women's Month Celebration and Culminating Activity </t>
    </r>
  </si>
  <si>
    <t>Claimed by: Sir Detarro</t>
  </si>
  <si>
    <t>HRD2026_055</t>
  </si>
  <si>
    <t>Bagong Nayon I ES</t>
  </si>
  <si>
    <t>Strengthening Literacy Foundation in Kindergarten</t>
  </si>
  <si>
    <t>School Conference room</t>
  </si>
  <si>
    <t>Phase 1 : Planning and Design  Phase 2: Module Development ( Request for Resource person and Presentation materials)  Phase 3: Implementation  Phase 4: Documentation,Assessment, and Evaluation</t>
  </si>
  <si>
    <t>HRD2026_056</t>
  </si>
  <si>
    <t>Enhancing C ritical and creative Thinking Through Varied Teaching Strategies</t>
  </si>
  <si>
    <t>Feb. 11-13, 2026</t>
  </si>
  <si>
    <t>Session 1: Understanding Higher -Order Thinking skills (HOTS)  Session 2: Varied Teaching Strategies for Critical and creative Thinking Session 3; Designing HOTS- Aligned  SessLearning Activities  Session 4: Classroom Implementation of Hots Strategies  Session 5: Reflective Teaching Practices</t>
  </si>
  <si>
    <t>HRD2026_057</t>
  </si>
  <si>
    <t>LAC on Test Construction</t>
  </si>
  <si>
    <t>Jan. 9, 2026</t>
  </si>
  <si>
    <t>Kinder Classroom</t>
  </si>
  <si>
    <t>Demonstrate  understanding of the guidelines in test construction 2.  Design question applying the bloom taxonomy</t>
  </si>
  <si>
    <t>HRD2026_058</t>
  </si>
  <si>
    <t xml:space="preserve">Mastering the CPA Triad: Empowering Mathematics Teachers through content, Pedagogy and Assessment Redefined </t>
  </si>
  <si>
    <t>Jan. 23,26, 28-30, 2026</t>
  </si>
  <si>
    <t>HRD2026_059</t>
  </si>
  <si>
    <t>Knights of Columbus ES</t>
  </si>
  <si>
    <t>ABC to Mastery: Elevating Literacy Interventions of English and Kindergarten ProficientTeacher</t>
  </si>
  <si>
    <t>Jan. 26-28, 2026</t>
  </si>
  <si>
    <t>First Pacific Leadership Academy</t>
  </si>
  <si>
    <t>Day 1: Smbedding Communicative language teaching in reading  Day 2: Strengthening Critical Thinking  Day 3: Designing Congruent Literacy Activities</t>
  </si>
  <si>
    <t>HRD2026_060</t>
  </si>
  <si>
    <t>Cabading ES</t>
  </si>
  <si>
    <t>Mula Salita Hanggan Pangungusap: Pagsusuri at Pag unawa sa Pagbabasa Gabay sa Low Emerging na Mag aaral</t>
  </si>
  <si>
    <t xml:space="preserve">Feb. 2, 2026 </t>
  </si>
  <si>
    <t>1. Identify effective strategies for decoding, word recognition and sentence building                                              2. Demonstrate effective strategies for decoding, word recognitio n, and sentence building                                                    3. Develop a classroom intervention plan for reading improvement                                                               4. Share best practices that enhance early literacy instruction.</t>
  </si>
  <si>
    <t>HRD2026_061</t>
  </si>
  <si>
    <t>Integration of Technology to Address Learning Goals</t>
  </si>
  <si>
    <t>Jan. 20-21, 2026</t>
  </si>
  <si>
    <t xml:space="preserve">Integration of Technology in Classroom Teaching </t>
  </si>
  <si>
    <t>Claimed by: Dale Mariñas</t>
  </si>
  <si>
    <t>HRD2026_062</t>
  </si>
  <si>
    <t xml:space="preserve">School LAC Sessionon the Classroom Management Strategies for Effective Instruction </t>
  </si>
  <si>
    <t>Jan. 29, 2026</t>
  </si>
  <si>
    <t xml:space="preserve">Topic: Classroom Management Strategies for effective instruction </t>
  </si>
  <si>
    <t>HRD2026_063</t>
  </si>
  <si>
    <t>Capacity Building of Teachers on PPST indicator 1.4.2 use a Range of Teaching Strategies that Enhance Learner Achievement in Literacy and numeracy skills</t>
  </si>
  <si>
    <t>Jan. 23, 2026 / 12:30 - 2:00 pm</t>
  </si>
  <si>
    <t>SAVES</t>
  </si>
  <si>
    <t>1. strengthen understanding on teaching strategies on PPST Indicator 1.4.2 Use a Range of Teaching Strategies that Enhance Learner Achievement in Literacy and Numeracy Skills,                                                2. coaching and mentoring strategies for teachers' professional development;                                                     3. crafting of lesson exemplar that enhances teaching strategies on Using a Range of Teaching Strategies that Enhance Learner Achievement in Literacy and Numeracy Skills; and                                                     4. write reflections on teaching strategies that will help develop and be used in a lesson plan.</t>
  </si>
  <si>
    <t>HRD2026_064</t>
  </si>
  <si>
    <t>Jan. 23, 2026 / 9:30 - 11:00 am</t>
  </si>
  <si>
    <t>HRD2026_065</t>
  </si>
  <si>
    <t>HRD2026_066</t>
  </si>
  <si>
    <t>HRD2026_067</t>
  </si>
  <si>
    <t>HRD2026_068</t>
  </si>
  <si>
    <t>HRD2026_069</t>
  </si>
  <si>
    <t>HRD2026_070</t>
  </si>
  <si>
    <t>HRD2026_071</t>
  </si>
  <si>
    <t>Elevating Learning: Using Diverse Teaching Strategies to Improve Literacy and Numeracy Outcomes</t>
  </si>
  <si>
    <t>HRD2026_072</t>
  </si>
  <si>
    <t xml:space="preserve">School LAC Session on the Alchemy Assessment: Designing Evaluation </t>
  </si>
  <si>
    <t>Feb. 16-20, 2026</t>
  </si>
  <si>
    <t>a. enhanced the overall quality of assessment practices by demonstrating knowledge and understanding of the participants in:   I. Fundamental of test construction II. Table of Specification and test formats    III. Writing effective test items   IV. Test Validation                                       b. applied knowledge and understanding in crafting assessment materials and that will serve as Item-Bank for Quarterly Assessments and ILSA aligned assessments.</t>
  </si>
  <si>
    <t>HRD2026_073</t>
  </si>
  <si>
    <t>Unlocking the Potential of Junior High School Mathematics Teachers at Dela Paz NHS: Reskilling and Upskilling for Moden Classroom</t>
  </si>
  <si>
    <t>Feb. 13, 20, 27, 2026</t>
  </si>
  <si>
    <t>1. identify and address common Mathematics misconceptions in secondary Mathematics;                                            2. Strengthen teachers' conceptual understanding and pedagogical content knowledge of the critical competencies encountered in secondary Mathematics;                                                    3. Equip teachers' confidence and competence in delivering instructional support to struggling students in critical competency areas; and                                                 5. Encourage reflective practice and collaborative problem-solving among teachers on overcoming challenges in teaching advanced or difficult mathematics content                                                6. Design classroom activities/learning tasks that address the misconceptions of students on critical content.</t>
  </si>
  <si>
    <t>HRD2026_074</t>
  </si>
  <si>
    <t>Teaching Beyond Errors: Responding to Misconceptions in Mathematics</t>
  </si>
  <si>
    <t>Feb. 18, 19, and 20, 2026</t>
  </si>
  <si>
    <t xml:space="preserve">LRMDS </t>
  </si>
  <si>
    <t>HRD2026_075</t>
  </si>
  <si>
    <t>Engaging Learners: Reading Intervention Strategies and Gamified ICT Tools</t>
  </si>
  <si>
    <t>Jan. 5-7, Jan. 7-9 Jan. 29, 2026 Feb. 13, 2026</t>
  </si>
  <si>
    <t>Session 1: Integration of ICT Gamifid Application  Session 2: Strategies in Reading Intervention</t>
  </si>
  <si>
    <t>HRD2026_076</t>
  </si>
  <si>
    <t>San Roque NHS</t>
  </si>
  <si>
    <t>SAFE SPACEs, STRONG SCHOOLS: A Gender- Responsive Capacity-Building Seminar on Mental Health, Well- Being, and Collaborative Partnerships</t>
  </si>
  <si>
    <t>Feb. 19-20, 2026</t>
  </si>
  <si>
    <t>Morong Star Hotel and Beach Resort, Sitio Panibuhatan, Morong, Bataaan</t>
  </si>
  <si>
    <r>
      <t xml:space="preserve">Session 1: Building safe and Inclusive School Workspaces  </t>
    </r>
    <r>
      <rPr>
        <sz val="9"/>
        <color rgb="FF000000"/>
        <rFont val="Calibri"/>
        <family val="2"/>
      </rPr>
      <t>*</t>
    </r>
    <r>
      <rPr>
        <sz val="9"/>
        <color rgb="FF000000"/>
        <rFont val="Calibri"/>
        <family val="2"/>
      </rPr>
      <t xml:space="preserve"> Gender sensitivity and mental health </t>
    </r>
    <r>
      <rPr>
        <sz val="9"/>
        <color rgb="FF000000"/>
        <rFont val="Calibri"/>
        <family val="2"/>
      </rPr>
      <t>*</t>
    </r>
    <r>
      <rPr>
        <sz val="9"/>
        <color rgb="FF000000"/>
        <rFont val="Calibri"/>
        <family val="2"/>
      </rPr>
      <t xml:space="preserve"> Gender - fair and inclusive language  Session 2; safe Spaces Act in Basic Education </t>
    </r>
    <r>
      <rPr>
        <sz val="9"/>
        <color rgb="FF000000"/>
        <rFont val="Calibri"/>
        <family val="2"/>
      </rPr>
      <t>*</t>
    </r>
    <r>
      <rPr>
        <sz val="9"/>
        <color rgb="FF000000"/>
        <rFont val="Calibri"/>
        <family val="2"/>
      </rPr>
      <t xml:space="preserve"> Rights, responsibilities, and school mechanisms  Session 3: Mental Health  and well being in Gender responsive schools  </t>
    </r>
    <r>
      <rPr>
        <sz val="9"/>
        <color rgb="FF000000"/>
        <rFont val="Calibri"/>
        <family val="2"/>
      </rPr>
      <t>*</t>
    </r>
    <r>
      <rPr>
        <sz val="9"/>
        <color rgb="FF000000"/>
        <rFont val="Calibri"/>
        <family val="2"/>
      </rPr>
      <t xml:space="preserve"> Stress, burnout, psychosocial risk </t>
    </r>
    <r>
      <rPr>
        <sz val="9"/>
        <color rgb="FF000000"/>
        <rFont val="Calibri"/>
        <family val="2"/>
      </rPr>
      <t>*</t>
    </r>
    <r>
      <rPr>
        <sz val="9"/>
        <color rgb="FF000000"/>
        <rFont val="Calibri"/>
        <family val="2"/>
      </rPr>
      <t xml:space="preserve"> Gendered experiences of mental health / workshop: Effective Collaboration and Gender-Responsive Teamwork </t>
    </r>
  </si>
  <si>
    <t>HRD2026_077</t>
  </si>
  <si>
    <t>Technology and Livelihood Education's In-Peron LAC Session Series "Integrating Knowledge and Higher-Order Thinking "</t>
  </si>
  <si>
    <t xml:space="preserve">Feb. 13, 2026, Feb. 27, 2026 </t>
  </si>
  <si>
    <t>ICT Laboratory Room 5</t>
  </si>
  <si>
    <t>Session 1: Teaching Beyond Boundaries: Cross-Curricular Applications Session 2: Teaching for higher-Order Thinking: Strategies that work</t>
  </si>
  <si>
    <t>For Release /Claimed</t>
  </si>
  <si>
    <t>HRD2026_078</t>
  </si>
  <si>
    <t xml:space="preserve">Senior High School- Core Group LAC/ Series on seeing  Enhancing Classroom Practices to Support Differentiated Instruction and Increase Student Engagement </t>
  </si>
  <si>
    <t>Feb. 20 and 27, 2026</t>
  </si>
  <si>
    <t>SHS ICT Room</t>
  </si>
  <si>
    <t>Session 1: Reflect, Share, Improve: Turning Observations into Opportunities  session 2: Inclusive Teaching in Action: Designing Learning for all</t>
  </si>
  <si>
    <t>HRD2026_079</t>
  </si>
  <si>
    <t>Senior High School- Specialized Group Lac Session Series on Observer, Engage, Explore: Strengthening Active Classrooms Through LAC</t>
  </si>
  <si>
    <t xml:space="preserve">Feb.20 and 27, 2026 </t>
  </si>
  <si>
    <t>Session 1: Reflect, Share, Improve: Turning Observations into Opportunities sesio 2: Active Classrooms, Curious Learners: structuring Learning for Exploration</t>
  </si>
  <si>
    <t>HRD2026_080</t>
  </si>
  <si>
    <t>HRD2026_081</t>
  </si>
  <si>
    <t>Capacity Building of Teachers on PPST2.3.2 managed Classroom Structure to Engage Learners, Individually or in Groups, in Meaningful Exploration, Discovery and Hands-on Activities within a Range of Physical Learning Environments</t>
  </si>
  <si>
    <t>Feb.6, 2026</t>
  </si>
  <si>
    <t>Session 1: PPST 2.3.2 Managed Classroom Structure to Engage Learners, Individually or in Groups, in meaningful Exploration, Discovery and Hands-on Activities within a range of Physical Learning Environments</t>
  </si>
  <si>
    <t>HRD2026_082</t>
  </si>
  <si>
    <t>HRD2026_083</t>
  </si>
  <si>
    <t>SLAC : Roll out of' Assessment Alchemy : Designing Meaningful and Effective Assessments</t>
  </si>
  <si>
    <t>Jan. 6,7,&amp;8, 2026</t>
  </si>
  <si>
    <t>Topic !: Test Construction Issues and Fixes /  Topic: Cracking the Code Essential Principles of Test Construction / Topic 3: CraftingQuestions that count : Writing Effective Test Item Topic 4: Beyond the Surface: Face and Content Validation of assessment</t>
  </si>
  <si>
    <t>cLaimed</t>
  </si>
  <si>
    <t>HRD2026_084</t>
  </si>
  <si>
    <t>Dela Paz ES</t>
  </si>
  <si>
    <t xml:space="preserve">Innovative  and Interactive Strategies in Teaching Araling panlipunan </t>
  </si>
  <si>
    <t>Feb.26, 2026</t>
  </si>
  <si>
    <t>School ICT</t>
  </si>
  <si>
    <t xml:space="preserve">Session 1: Innovative and Interactive Strategies in Araling Panlipunan / Collaborative Lesson Planning </t>
  </si>
  <si>
    <t>HRD2026_085</t>
  </si>
  <si>
    <t>Dalig ES</t>
  </si>
  <si>
    <t>The Power of Feedback: Enriching Classroom Practices and Transforming Learners'Achievement".</t>
  </si>
  <si>
    <t>School Library</t>
  </si>
  <si>
    <t xml:space="preserve">Session: Analysis, Interpretation, andUtilization of Asessment Results for effective Feedback giving  Session:  How to use Colleague and Learner feedback to enrich teaching Practice </t>
  </si>
  <si>
    <t>HRD2026_086</t>
  </si>
  <si>
    <t>Lores ES</t>
  </si>
  <si>
    <t>(SLAC) on Aligning Assessments with the Table of Specification (TOS) in EPP/ TLE</t>
  </si>
  <si>
    <t>Jan. 28-30, 2026</t>
  </si>
  <si>
    <t>Session: From Competencies to Questions: Crafting Valid Assessments through TOS Session: Construction of Quarterly assessment (Workshop)  Session : Presentation of Crafted Quarterly assessment</t>
  </si>
  <si>
    <t>HRD2026_087</t>
  </si>
  <si>
    <t>Empowering Mathematics Teachers through Content, Pedagogy and assessment Redefined of mathematics and Kindergarten Proficient Teacher</t>
  </si>
  <si>
    <t>Feb.9-10, 2026</t>
  </si>
  <si>
    <t>KCES Faculty Room</t>
  </si>
  <si>
    <t xml:space="preserve">Session 1: Presentation &amp; Discussion : Mathematics Content Areas, Competencies Needing Sequenced Instruction, Strategies for Diverse Learning Needs / Syntheis , Agreement on next steps/ Planning using C-P-A Approach Designing Exemplar with Aligned content, Pedagogy, and assessment </t>
  </si>
  <si>
    <t>Forwarded to CID</t>
  </si>
  <si>
    <t>for release</t>
  </si>
  <si>
    <t>HRD2026_088</t>
  </si>
  <si>
    <t>(SLAC) on managing ClassroomStructure to Engage Learners in Exploration, Discovery , and Hands-on Activities across Physical Learning Environments (PPST 2.3.2)</t>
  </si>
  <si>
    <t>Feb. 5, 2026</t>
  </si>
  <si>
    <t>Learning Resource Center</t>
  </si>
  <si>
    <t xml:space="preserve">Classroom Teachers (Proficient) Master Teacher / SLSAC Session </t>
  </si>
  <si>
    <t>Claimed  2-19-2026</t>
  </si>
  <si>
    <t>HRD2026_089</t>
  </si>
  <si>
    <t>Old Boso-boso ES</t>
  </si>
  <si>
    <t>School-Based Learning Action Cell (LAC) Session on Enhancing supervision competencies of master Teachers and T.A. Providers Through Classroom indicators, PPST, and PMES for Effective coaching,mentoring ,and Feedback</t>
  </si>
  <si>
    <t>Feb. 25-27, 2026</t>
  </si>
  <si>
    <t>LR/ Conference Room</t>
  </si>
  <si>
    <t>Day 1: Overview of PPST framework,Classroom Performance Indicators, PMES result and thier roles in Instructional Supervision  Day2: Coaching Nd mentoring techniques, Providing Constructive Feedback PPST Domains and Indicators related to supervision Skills.  Day 3: Using Classroom Performance Indicators for Teacher Evaluation, Designing Action Plans, Reflective Teaching Practices, Collaborative professional Growth</t>
  </si>
  <si>
    <t>HRD2026_090</t>
  </si>
  <si>
    <t>Sapinit ES</t>
  </si>
  <si>
    <t>SLAC on Improving Reading Proficiency of Learners</t>
  </si>
  <si>
    <t>Feb.4-6, 2026</t>
  </si>
  <si>
    <t>Sapinit ES SBM-Conference Room</t>
  </si>
  <si>
    <t>Enhance Teachers'competencein teaching reading through collaborative Learning. /analyze learners'reading assessment dat to identify specific reading difficulties. /share and discuss effective reading strategies and interventions. develop and implement school- Based reading interventions./ develop and implement school-based reading intervention plans. / develop contextualized reading materials for beginning and struggling readers</t>
  </si>
  <si>
    <t>HRD2026_091</t>
  </si>
  <si>
    <t>LAC: Constructuve Alignment of Content, Pedagogy, and Assessment</t>
  </si>
  <si>
    <t>Feb. 27, 2026</t>
  </si>
  <si>
    <t>ICT-JHS room, Dalig NHS</t>
  </si>
  <si>
    <t>appropriate pedagogical strategies and assessment tools that are aligned with the most essential Learning Competencies  (MELCs).  / Design Lesson Plan Reflecting constructive alignment of Learning objectives, teaching Learning activities, and assessment tasks.</t>
  </si>
  <si>
    <t>The Evaluator was unavailable /  For Release</t>
  </si>
  <si>
    <t>HRD2026_092</t>
  </si>
  <si>
    <t>School Action Plan on Project Achieve Numeracy - Key Stage 2 Math Bridge : Connecting Ideas, Building Skills</t>
  </si>
  <si>
    <t>Aug. 1 &amp; 22, 2025</t>
  </si>
  <si>
    <t>* Material Creation Workshop  * Intervention Activities (Pop-up, Pul-out, Game-Based session)</t>
  </si>
  <si>
    <t>Claimed 2-19-2026</t>
  </si>
  <si>
    <t>HRD2026_093</t>
  </si>
  <si>
    <t>LAC: Proposal on Supporting Teachers in Adopting Learners-Centered Teaching Approaches</t>
  </si>
  <si>
    <t xml:space="preserve">DPWH Building </t>
  </si>
  <si>
    <t xml:space="preserve">Session Proper: Learner-Centered Teaching Approaches  / Workshop / Presentation of outputs </t>
  </si>
  <si>
    <t>The Evaluator was unavailable /  for Release</t>
  </si>
  <si>
    <t>HRD2026_094</t>
  </si>
  <si>
    <t>Proposal for the School LAC Session on the enhancing Learner engagement through collaborative classroom management Techniques</t>
  </si>
  <si>
    <t>Feb.23, 2026</t>
  </si>
  <si>
    <t>Nilo Leyble Building</t>
  </si>
  <si>
    <t xml:space="preserve">*Collaborative review of Learner behavior and engagement feedback  *  Viewing and discussion of classroom management strategies  * Barinstorming and sharing of best practices  * Benchmarking, insights, and reflection activities * </t>
  </si>
  <si>
    <t>HRD2026_095</t>
  </si>
  <si>
    <t xml:space="preserve">LAC: Proposal on Reviewing Effective Assessment strategies consistent with curriculum requirements </t>
  </si>
  <si>
    <t>Feb. 25, 2026</t>
  </si>
  <si>
    <t>School session room</t>
  </si>
  <si>
    <t>-Collaborative review the design , selection organization and use of range of effective diagnostic formative and summative assessment strategies consistent with curriculum requirements. -Viewing/Brainstorming / Sharing / Benchmarking/ Insights/Reflections</t>
  </si>
  <si>
    <t>HRD2026_096</t>
  </si>
  <si>
    <t>LAC Proposal on Review the Design, Selection, Organization and use of a range of effective Diagnostic, Formative Summative Assessment Strategies consistent with curriculum Requirements</t>
  </si>
  <si>
    <t>Session Proper: Slac on the review the design,  selection organization and use of range of effective diagnostic formative and summative assessment strategies.</t>
  </si>
  <si>
    <t>HRD2026_097</t>
  </si>
  <si>
    <t>School LAC session on Strengthening Differentiated instruction through collaborative Teaching Practices</t>
  </si>
  <si>
    <t>School Faculty</t>
  </si>
  <si>
    <t>* Collaborative review of Learners' behavior and Participation feedback to improve classroom management Strategies  -Viewing / Brainstorming / Sharing/ Benchmarking / Insights/ Reflections</t>
  </si>
  <si>
    <t>HRD2026_098</t>
  </si>
  <si>
    <t>LAC Proposal on Collaborative Review of Learners' Behavior and Participation Feedback to improve Classroom management strategies</t>
  </si>
  <si>
    <t>Feb. 23, 2026</t>
  </si>
  <si>
    <t>Session : Classroom management strategies</t>
  </si>
  <si>
    <t>HRD2026_099</t>
  </si>
  <si>
    <t>LAC- Responsive Teaching in Challenging Contexts: Equipping Teachers with Inclusive Strategies  for Learners in Difficult Circumstances.</t>
  </si>
  <si>
    <t>Feb.18, 2-026</t>
  </si>
  <si>
    <t>Faculty Room</t>
  </si>
  <si>
    <t xml:space="preserve">* Equipping Teachers with Inclusive Strategies for Learners in Difficult Circumstances * Demonstration Teacher </t>
  </si>
  <si>
    <t>HRD2026_100</t>
  </si>
  <si>
    <t>Proposal for the School LAC Session on Selecting Developing, and using ICT Based-Learning Resources to Address specific Learning Goal</t>
  </si>
  <si>
    <t>Feb. 24, 2026</t>
  </si>
  <si>
    <t>SLAC on Selecting, Developing, and using ICT Based- Learning Resources to Address Specific Learning Goal</t>
  </si>
  <si>
    <t>HRD2026_101</t>
  </si>
  <si>
    <t>Strengthening Assessment strategies for effective intervention Planning and feedback</t>
  </si>
  <si>
    <t>JHS Laboratory</t>
  </si>
  <si>
    <t xml:space="preserve">* Discuss PPST Support Materials - Module 2 (PPST1.4.2) / * Discuss PPST Resource Package - Module-8 </t>
  </si>
  <si>
    <t>HRD2026_102</t>
  </si>
  <si>
    <t>Antipolo City Senior HS</t>
  </si>
  <si>
    <t>SCHOOL LEARNING ACTION CELL PROPOSAL "FROM FEEDBACK TO PRACTICE - TURNING REFLECTION INTO ACTION"</t>
  </si>
  <si>
    <t>ACSHS Library</t>
  </si>
  <si>
    <t>1. Identify appropriate teaching and learning materials aligned with lesson objectives, learner needs, and curriculum standards.                                                                 2. Develop and organize teaching and learning materials that are engaging, accessible, and responsive to diverse learners.                                                             3. Utilize selected teaching and learning materials for instruction and reflect on their effectiveness in promoting learner engagement and achievement.</t>
  </si>
  <si>
    <t>HRD2026_103</t>
  </si>
  <si>
    <t>SCHOOL LEARNING ACTION CELL ON DESIGN, SELECT, ORGANIZE AND USE DIAGNOSTIC, FORMATIVE AND SUMMATIVE ASSESSMENT STRATEGIES CONSISTENT WITH CURRICULUM REQUIREMENTS (5.1.2)</t>
  </si>
  <si>
    <t>March 5, 12, 19, 26, 2026</t>
  </si>
  <si>
    <t>Music Room 3rd Floor Grade 4 Building</t>
  </si>
  <si>
    <t>Teachers will identify the characteristics and purposes of diagnostic, formative, and summative assessments given sample classroom scenarios, with 100% correct classification.                                                       Teachers will analyze curriculum standards and learner needs using provided curriculum guides and ESAT data, ensuring accurate interpretation in at least 4 out of 5 cases.                                                            Teachers will design sample assessment tools (e.g, quizzes, performance tasks) during collaborative planning, ensuring alignment with learning competencies and PPST indicators.                                                       Teachers will organize assessment strategies into a coherent plan given a template and group discussion, achieving logical sequencing and completeness as per rubric criteria.                                                      Teachers will demonstrate the integration of assessment strategies in lesson planning through a mock lesson plan activity, meeting all required components with 90% accuracy.</t>
  </si>
  <si>
    <t>HRD2026_104</t>
  </si>
  <si>
    <t>"MAXIMIZING tEACHING EFFECTIVENESS THROUGH PURPOSEFUL USE OF LEARNING RESOURCES AND ICT TOOLS"</t>
  </si>
  <si>
    <t>a. Enhance teachers' ability to select, develop, and organize appropriate learning resources and ICT tools that effectively support differentiated and developmentally appropriate instruction                                    b. Strengthen teachers' instructional practices by integrating learning resources and ICT tools to promote actice learner engagement, collaboration, and motivation in the classroom</t>
  </si>
  <si>
    <t>For Release Claimed by": Allan Dale Marinas</t>
  </si>
  <si>
    <t>HRD2026_105</t>
  </si>
  <si>
    <t>Mambugan I ES</t>
  </si>
  <si>
    <t>RESEARCH-DRIVEN SCHOOL LAC SESSION FOR TEACHER GROWTH AND SCHOOL INNOVATION</t>
  </si>
  <si>
    <t>Feb. 18, 19 and 20, 2026</t>
  </si>
  <si>
    <t>a. Equip SNED, Kindergarten, Grade 1 and Grade 5 teachers with knowledge of DepEd Order No. 16, s. 2017                                       b. Provide techinical assistance in crafting and submitting action research proposals                                             c. Promote inclusive and innovative practices through collaborative research                                                  d. Align research initiatives with learner diversity and school improvement goals                                                e. Encourage reflective practice and professional growth through evidence-based strategies</t>
  </si>
  <si>
    <t>HRD2026_106</t>
  </si>
  <si>
    <t>MATHEMATICS DEPARTMENT LAC PROPOSAL       UNLOCKING THE POTENTIAL OF SECONDARY MATHEMATICS TEACHERS: RESKILLING AND UPSKILLING FOR MODERN CLASSROOMS</t>
  </si>
  <si>
    <t>Feb. 6, 13, 20, 2026</t>
  </si>
  <si>
    <t>1. Identify and address common Mathematics misconceptions in secondary Mathematics.                                       2. Strengthen teachers' conceptual understanding and pedagogical content nowledge of the critical competencies encountered in secondary Mathematics.                                               3. Equip teachers with effective instructional strategies and scaffolding techniques to simplify and clarify mathematical consepts for diverse learners.                                                                          4. Foster teachers' confidence and competence in delivering instructional support to struggling learners.                                                  5. Encourage reflective practice and collaborative problem-solving among teachers on overcoming challenges in teaching advances or difficult mathematics content.                                                6. Design classroom activities/ learning tasks that address the misconceptions of learners in critical content.</t>
  </si>
  <si>
    <t xml:space="preserve">The Evaluator was unavailable / </t>
  </si>
  <si>
    <t>HRD2026_107</t>
  </si>
  <si>
    <t>CLOSING THE GAP: COLLABORATIVE FEEDBACK FOR HIGHER PROFICIENCY</t>
  </si>
  <si>
    <t>Feb. 27, 2026 and March 6, 2026</t>
  </si>
  <si>
    <t>ACSHS LIBRARY AND COMPUTER LABORATORY</t>
  </si>
  <si>
    <t>1. Identify actionable insights from colleagues' and learners' feedback to pinpoint areas of teaching that can be improved;                                                         2. move from viewing feedback as "correction" to viewing it as a "collaborative tool" for proficiency;                                       3. integrate feedback into lesson planning and classroom practices to enhance instructional effectiveness and student engagement.</t>
  </si>
  <si>
    <t>HRD2026_108</t>
  </si>
  <si>
    <t>Mastering the CPA Triad: Empowering Mathematics Teaching Through content, Pedagogy and Assessment Redifined via School-BasedLearning Action Cell</t>
  </si>
  <si>
    <t>Feb. 11-13, 2026 and Feb. 19-20, 2026</t>
  </si>
  <si>
    <t>School Function room</t>
  </si>
  <si>
    <t>Session 1: Understanding the CPA Triadin early Mathematics  Session 2: Strengthening Content Knowledge and Pedagogy in Foundational mathematics: number and Algebra- Basic ConceptsCompose and Decompose Rounding numbers Basic Operations &amp; Properties Fractions addition and subtraction of similar Fractions   Session 3: Strengthening Content Pedagogy in Foundational Mathematics Number and  Algebra -word problems Solve Routine and non- Routine Problems in Basic Orientations and Fractions Session 4: Strengthening Content Knowledgeand Pedagogy in Foundational Mathematics: Measurement and Geometry Find Perimeter  and area of Squares and Rectangles Composite Figure Solvingg Routine and Non- Routine Problems  Session 5: DEsigning Lesson Exemplars  using the CPA Approach  Session 6: Assessment for Learning in Key Stage 1 Mathematics Session 7: Using Technology andLicalized materials in Early Mathematics  Session 10: Action Planning Suatining the CPA Triad in the Classroom  / Demonstration Teaching</t>
  </si>
  <si>
    <t>For Release / Claimed by Nina Generale</t>
  </si>
  <si>
    <t>HRD2026_109</t>
  </si>
  <si>
    <t>"LEARNING ACTION CELL ON BUILDING EXCELLENCE: EQUIPPING ENGLISH 10 TEACHERS FOR PMES SUCCESS IN SY 2025-2026"</t>
  </si>
  <si>
    <t>January 30 to May 2026</t>
  </si>
  <si>
    <t>1. Teachers will be knowledgeable on the salient features of DM 089, s. 2025;                                                2. Teachers will determine how one will be rated in the classroom observation;                                                      3. Teachers will have successful two (2) classroom observations; and                                                  4. Teachers will use this platform as a venue for collaboration, feedforwarding, and further professional growth.</t>
  </si>
  <si>
    <t>For Release Claimed by Sir Detarro</t>
  </si>
  <si>
    <t>HRD2026_110</t>
  </si>
  <si>
    <t xml:space="preserve">"PLAN, TEACH, EVALUATE: LEARNING ACTION CELL ON ENGLISH 10 (QUARTER 4)" </t>
  </si>
  <si>
    <t>January 26 to May 2026</t>
  </si>
  <si>
    <t>1. Teachers will be knowledgeable on the salient features of DM 089, s. 2025;                                         2. Teachers will determine how one will be rated in the non-classroom observable indicators (NCOI);                                                    3. Teachers will prepare, implement, and evaluate teaching-learning activities, materials, and assessment; and                                                 4. Teachers will use this platform as a venue for collaboration, feedforwarding, and further professional growth.</t>
  </si>
  <si>
    <t>For Release/ Claimed by: Sir Detarro</t>
  </si>
  <si>
    <t>HRD2026_111</t>
  </si>
  <si>
    <t>SCHOOL LEARNING ACTION CELL (SLAC) PROPOSAL ON FROM CLASSROOM PRACTICE TO INSTRUCTIONAL LEADERSHIP</t>
  </si>
  <si>
    <t>Feb. 26, March 5, 12, 19, 2026</t>
  </si>
  <si>
    <t>1. explain key concepts and roles related to instructional leadership, including modeling effective teaching practices, mentoring, coaching, and supervisory functions;                                          2. analyze instructional and professional learning needs of teachers using classroom-based evidence and school contexts;                                                    3. apply appropriate mentoring, coaching, and instructional leadership strategies to support teachers' professinal growth through LACs and other school-based learning activities;                                            4. develop priliminary plans for instructional innovations, action research, or resource development aligned with identified needs and school priorities; and                                                         5. formulate a personal leadership action plan that aligns professional growth goals with instructional leadeship roles and school improvment initiatives.</t>
  </si>
  <si>
    <t>HRD2026_112</t>
  </si>
  <si>
    <t>LEARNING ACTION CELL ON ACTION RESEARCH 2026: ACTION RESEARCH FOR ENHANCING SCHOOL OPERATIONS AND STUDENT LEARNING (MENTORS' GROUP)</t>
  </si>
  <si>
    <t>Feb. 16, 19, 23, March 11, 2026</t>
  </si>
  <si>
    <t>ACG CONFERENCE HALL</t>
  </si>
  <si>
    <t>1. Identify the steps in conducting an action research;                                                                                 2. Be familiarized with the parts of a research proposal;                                                                          3. Submit an action research proposal;                                                            4. Submit a full research report; and                                                    5. Disseminate findings of research.</t>
  </si>
  <si>
    <t>HRD2026_113</t>
  </si>
  <si>
    <t>Bagong Nayon IV ES</t>
  </si>
  <si>
    <t>SLAC  Session on Capacity Building of Key stage 1 Teachers on Learning Recovery in Literacy and Numeracy</t>
  </si>
  <si>
    <t>Science and Math Room</t>
  </si>
  <si>
    <t>Topic 1: Building Skills in Reading (Getting Main Idea and Noting Details ) Topic 2: Words Worth Teaching  Topic 3: Communicative Language Teaching in Reading  Topic 4: Designing for Congruency  Topic 5:  Understaning the content, Pedagogy and Assessment Triad in Early Grade School Mathematics  Topic 6: Using Technology and Localized materials in Early mathematics  Topic 7: Assessment for Learning in Key Stage 1 Mathematics</t>
  </si>
  <si>
    <t>The Evaluator was unavailable /  for Release / Claimed</t>
  </si>
  <si>
    <t>HRD2026_114</t>
  </si>
  <si>
    <t>School Learnig Action Cell (SLAC) Proposal on ABCs for Classroom Practice</t>
  </si>
  <si>
    <t>Feb. 24, 2026 / March 3, 10, 17, 2026</t>
  </si>
  <si>
    <t>Session : Lecture Discussion and Workshop on Literacy and numeracy Skills- Enhancing Teaching Strategies /  Lecture- Discussion on Lesson Sequencing and Scaffolding  / Lecture- Discussion on Differentiation Strategies / Lecture-Discussion on HOTS Questioning</t>
  </si>
  <si>
    <t>HRD2026_115</t>
  </si>
  <si>
    <t>Muntindilaw NHS</t>
  </si>
  <si>
    <t>"SCHOOL ROLL-OUT ON UNLOCKING THE POTENTIAL OF SECONDARY MATHEMATICS TEACHERS: RESKILLING AND UPSKILLING FOR MODERN CLASSROOMS"</t>
  </si>
  <si>
    <t>Feb. 5-6, and Feb. 16-17, 2026</t>
  </si>
  <si>
    <t>a. Identify and address common Mathematics misconception in secondary Mathematics                                                                    b. Strengthen teachers' conceptual understanding and pedagogical content knowledge of the critical competencies encountered in secondary mathematics                                                             c. Equip teachers with effective instructional strategies and scaffolding techniques to simplify and clarify mathematical concepts for diverse learners                                      d. Foster teachers' confidence and competence in delivering instructional support to struggling learners in critical competency areas; and                                          e. Encourage reflective practice and collaborative problem-solving among teachers on overcoming challenges in teaching advanced or difficult mathematics content                                                                                                                     f. Design classroom activities/ learning tasks that address the misconceptions of learners on critical content.</t>
  </si>
  <si>
    <t>Claimed 2/23/2026</t>
  </si>
  <si>
    <t>HRD2026_116</t>
  </si>
  <si>
    <t>School LAC Session on Strengthening Differentiated instruction through collaborative  Teaching Practices</t>
  </si>
  <si>
    <t xml:space="preserve">Feb. 27, 2026 </t>
  </si>
  <si>
    <t>DPWH Building</t>
  </si>
  <si>
    <t>Session : Differentiated Instruction &amp; Activities/ Presentation of outputs</t>
  </si>
  <si>
    <t>HRD2026_117</t>
  </si>
  <si>
    <t>San Luis ES</t>
  </si>
  <si>
    <t>School Lac Session on the Utilization of Mathematics formative Assessment Samples (MFAS)</t>
  </si>
  <si>
    <t>Jan. 30, 2026</t>
  </si>
  <si>
    <t>* Determine the different Numeracy result of the last three school years. * Projected DEDP target * Project Do-THe- Math: * Exploring Mathematics Formative Assessment smaples (MFAS): and * Maxinizing the utilization of Mathematics Formative Assessment Samples (MFAS) nd Preparations of reports</t>
  </si>
  <si>
    <t>HRD2026_118</t>
  </si>
  <si>
    <t>Proposal on SLAC Session on Assessment Alchemy: Asssessment that works</t>
  </si>
  <si>
    <t>Feb. 9, 2026</t>
  </si>
  <si>
    <t>PES Function Room</t>
  </si>
  <si>
    <t xml:space="preserve">* Test Construction Issues and Fixes  / Crafting Globally Valid Questions: Writing ILSA Test Items </t>
  </si>
  <si>
    <t>For Release / Ma Nina Generale</t>
  </si>
  <si>
    <t>HRD2026_119</t>
  </si>
  <si>
    <t>Pantay ES</t>
  </si>
  <si>
    <t>Navigating the new era of Responsible use of AI Integration for Teachers</t>
  </si>
  <si>
    <t>PES / AUSAID Building 2</t>
  </si>
  <si>
    <t>No matrix Attached</t>
  </si>
  <si>
    <t>For Release/ Claimed by: Mam Arceli Caparanga</t>
  </si>
  <si>
    <t>HRD2026_120</t>
  </si>
  <si>
    <t>Feedback that Matters : A Collaborative Strategy for Enhancing Teaching and Learning Practices</t>
  </si>
  <si>
    <t xml:space="preserve">ACSHS LIBRARY </t>
  </si>
  <si>
    <t>Feedback That Matters: A Collaborative Strategy for Enhancing Teaching and Learning Practices</t>
  </si>
  <si>
    <t>HRD2026_121</t>
  </si>
  <si>
    <t>Teofila Z. Rovero Memorial ES</t>
  </si>
  <si>
    <t>School LAC Session on "ABC to Mastery: Elevating interventions of English and Kindergarten Proficient Teachers</t>
  </si>
  <si>
    <t>Feb. 24, 26,  and 27, 2026</t>
  </si>
  <si>
    <t xml:space="preserve">Topic : 1. Laying the Groundwork: Building Blocks for Early literacy  2. Communicative Language  Teaching in Reading  Topic 2: Strengthening Critical Thinking through Reading Topic3: Designing for Congruency </t>
  </si>
  <si>
    <t>HRD2026_122</t>
  </si>
  <si>
    <t xml:space="preserve">Gender and Development Training Proposal "Empowering Educators: Fostering Gender Equality and Professional Excellence </t>
  </si>
  <si>
    <t>March 31, 2026 at  Boso-Boso Highlands Resort and Hotel  Ant. City</t>
  </si>
  <si>
    <t>at  Boso-Boso Highlands Resort and Hotel  Ant. City</t>
  </si>
  <si>
    <t>* Gender Equality in the workplace  / * Safe Spaces Act of Basic Rduc. / * Effective collaboration with Teams ( Social Skills and Gender Sensitivity) / * Continuation of social skills and Gender Sensitivity</t>
  </si>
  <si>
    <t>HRD2026_123</t>
  </si>
  <si>
    <t xml:space="preserve">School Learning Action cell on Strengthening Numeracy Skills of Learners </t>
  </si>
  <si>
    <t>SBM Conference room</t>
  </si>
  <si>
    <t xml:space="preserve">* Equip Teachers in teaching numeracy through CPA Approach. / * analyze learners'reading assessment data to identify soecific numeracy difficulties share and discuss effective numeracy strategies and interventions. develop and implement school-based numeracy interventions plans. * Develop contextualized numeracy materials </t>
  </si>
  <si>
    <t>HRD2026_124</t>
  </si>
  <si>
    <t>Mathematics 'In Person LAC Session Series"The MFAS Advantage: Tailoring Instructional Strategies to Respondto Learners 'Gender, Needs, and experiences</t>
  </si>
  <si>
    <t>Feb.20, March 6, 2026</t>
  </si>
  <si>
    <t>Faculty room</t>
  </si>
  <si>
    <t>Session 1: G.E.N.S. ( Genders, Experiences, needs, &amp; Strengths) Bridging Gaps through Inclusive Instruction  Session 2: "Concrete to Abstract :  Tailoring math Interventions for Varied Learners Profiles</t>
  </si>
  <si>
    <t>for Release/ Claimed</t>
  </si>
  <si>
    <t>HRD2026_125</t>
  </si>
  <si>
    <t>Capacity Building of Teachers on PPST 5.1.2 Design, Select , Organized and use diagnostic , Formative and Summative assessment strategies consistent with curriculum Requirements</t>
  </si>
  <si>
    <t>Session 1: PPST 5.1.2 Design, Select, Organize and use Diagnostic, Formative and summative Assessment Strategies consistent with curriculum Requirements</t>
  </si>
  <si>
    <t>HRD2026_126</t>
  </si>
  <si>
    <t>Jesus S. Cabarrus ES</t>
  </si>
  <si>
    <t>Mastering the CPA  Triad: Empowering Mathematics Teachers Through content, Pedagogy and assessment Redefined</t>
  </si>
  <si>
    <t>Feb. 23,24,26, 2026</t>
  </si>
  <si>
    <t>Topic 1: Understanding the CPA Triad in Early Mathematics  Topic 2: Strengthening Content Knowledge and Pedagogy in Foundational Mathematics : Number in algbra -Basic Concepts Compose and De compoe Rounding  Topic 3: Strengthening Content Knowledge and Padagogy in Foundational Mathematics : Number and Algebra -word Problems solve routine and non Routine Problems in basic operations and Fractions</t>
  </si>
  <si>
    <t>HRD2026_127</t>
  </si>
  <si>
    <t>Unlocking Curriculum content Knowledge and Strategies for Effective Teaching  Araling Panlipunan</t>
  </si>
  <si>
    <t xml:space="preserve"> Feb. 2026</t>
  </si>
  <si>
    <t>* Understand curriculum learning outcomes and Standards  * Unpacking/ Clustering of Competencies  per quarter  * Integrates cross-curricular connections  * Emphasizes critical thinking and problem solving skills * Collaborative with colleaguesto enhance curriculum delivery * designs engaging and relevant lessons aligned with curriculum goals utilizing ppropriate teaching strategies  * Post test</t>
  </si>
  <si>
    <t>HRD2026_128</t>
  </si>
  <si>
    <t xml:space="preserve">Strategic Contextualization and Localization: Bridging the matatag Curriculum to Local Realities </t>
  </si>
  <si>
    <t>* Lecture Discussion / Demo TEacher</t>
  </si>
  <si>
    <t>HRD2026_129</t>
  </si>
  <si>
    <t>LAC ON RESEARCH 2026: ACTION RESEARCH FOR ENHANCING SCHOOL OPERATIONS AND STUDENT LEARNING (MENTORS' GROUP)</t>
  </si>
  <si>
    <t>HRD2026_130</t>
  </si>
  <si>
    <t>LAC ON RESEARCH 2026: ACTION RESEARCH FOR ENHANCING SCHOOL OPERATIONS AND STUDENT LEARNING (MENTEES' GROUP)</t>
  </si>
  <si>
    <t>for Release/Claimed by : Sir Detarro</t>
  </si>
  <si>
    <t>HRD2026_131</t>
  </si>
  <si>
    <t>Mambugan II ES</t>
  </si>
  <si>
    <t>ENHANCING FOUNDATIONAL LEARNING THROUGH ICT, LITERACY, AND NUMERACY</t>
  </si>
  <si>
    <t>Feb. 16, 18, 20, 23, 24, 27, March 2,4,6,9, 2026</t>
  </si>
  <si>
    <t>a. identify proactical applications of AI communication and ICT tools that enhance lesson delivery, learner engagement, and professional collaboration                                                   b. Demonstrate effective early literacy routine reading interventions aligned with the Curriculum to support beginning and struggling readers                                                         c. Apply foundational numeracy strategies using concrete and visual manipulatives to strengthen learners' conceptual understanding and number sense                                       d. Design formative assessment tools and feedback strategies to monitor learner progress and address learning gaps in literacy and numeracy.                                                                      e. Share and reflect on best practices through collaborative discussion to improve classroom instruction and learner</t>
  </si>
  <si>
    <t>HRD2026_132</t>
  </si>
  <si>
    <t>ACTION PLAN DEVELOPMENT FOR ENHANCING INSTRUCTIONAL EXCELLENCE AND CONTINUOUS PROFESSIONAL GROWTH AMONG MASTER TEACHERS</t>
  </si>
  <si>
    <t>1. To strengthen mentoring and coaching systems by developing structured mentoring plans for teachers                                                             2. To enhance structional excellence and promote continuous professional growth among Master Teachers</t>
  </si>
  <si>
    <t>for Release</t>
  </si>
  <si>
    <t>HRD2026_133</t>
  </si>
  <si>
    <t>Strengthening collaborative interpretation of monitoring and evaluation strategies to support Learner Progress and Achievement</t>
  </si>
  <si>
    <t>School Learning Action Cell (SLAC) Session on Strengthening collaborative interpretation of monitoring and evaluationstrategies to support learner Progress and Achievement</t>
  </si>
  <si>
    <t>for Release / Claimed  by CharysePelayo</t>
  </si>
  <si>
    <t>HRD2026_134</t>
  </si>
  <si>
    <t>Mastering the CPA Triad: Empowering Mathematics Teachers Through content, Pedagogy and Assessment Redefined</t>
  </si>
  <si>
    <t>March 3-5, 10-12, 2026</t>
  </si>
  <si>
    <t>* Demonstrated a solid understanding for Key Stage 1 &amp;2 Mathematics content areas , * UNdrstood CPA Trias in Early Mathematics  * Applied and effective pedagogical Approaches in teaching Mathematics concepts to the Learners. * Strengthened Content Knowledge and Pedagogy in foundational  mathematics  * Designed Lesson Exemplars Using CPA Approach, and * Integrated assessment - for- learning practices to provide timely and meaningful feedback to pupils</t>
  </si>
  <si>
    <t>HRD2026_135</t>
  </si>
  <si>
    <t>Enhancing Teaching Practice through collaborative engagement and feedback integration (PPSt4.4.3)</t>
  </si>
  <si>
    <t>Session : Reviewed with colleagues, teacher, and learner feedback to plan, facilitate, and enrich teaching practice (ppst 4.4.3)</t>
  </si>
  <si>
    <t>HRD2026_136</t>
  </si>
  <si>
    <t xml:space="preserve">Mastering the CPA Triad: Empowering Mathematics Teachers through content, Pedagogy , and assessment </t>
  </si>
  <si>
    <t>Feb. 17,19,20, 2026</t>
  </si>
  <si>
    <t>School's ICT room</t>
  </si>
  <si>
    <r>
      <rPr>
        <sz val="11"/>
        <color rgb="FF000000"/>
        <rFont val="Calibri"/>
        <family val="2"/>
      </rPr>
      <t xml:space="preserve">Topic 1: Strengthening Content Knowledge and Pedagogy in Foundation mathematics: number and Algebra -basic operations  Rounding numbers Arranging Numbers Basic concepts  Operations and Properties Fractions  Topic 2: Strengthening Content Knowledge and Pedagogy inFoundation mathematics  </t>
    </r>
    <r>
      <rPr>
        <b/>
        <sz val="11"/>
        <color rgb="FF000000"/>
        <rFont val="Calibri"/>
        <family val="2"/>
      </rPr>
      <t>Data and Probability</t>
    </r>
    <r>
      <rPr>
        <sz val="11"/>
        <color rgb="FF000000"/>
        <rFont val="Calibri"/>
        <family val="2"/>
      </rPr>
      <t xml:space="preserve">  Data and Interpretation (Tables</t>
    </r>
  </si>
  <si>
    <t>For Release/ Claimed by: Shiela Gatlabayan</t>
  </si>
  <si>
    <t>HRD2026_137</t>
  </si>
  <si>
    <t>Empowering Teaching through Integration: A School Learning Action Cell Session</t>
  </si>
  <si>
    <t>March 3-4, 2026</t>
  </si>
  <si>
    <t>SBM Room</t>
  </si>
  <si>
    <t xml:space="preserve">Microsoft Productivity tools for DepEd Computerization Program (DCP) Adoption  * CANVA Masterclass: Craeting Designs using CANVA's Visual Suite  </t>
  </si>
  <si>
    <t>HRD2026_138</t>
  </si>
  <si>
    <t>Empowering Teachers in Selecting and creating ICT-Based Learning Resources for improved instruction</t>
  </si>
  <si>
    <t>"Empowering Teachers in Selecting and Creating ICT- Based Learning Resources for Improved Instruction</t>
  </si>
  <si>
    <t>For Release/ Claimed by Allan Dale Marinas</t>
  </si>
  <si>
    <t>HRD2026_139</t>
  </si>
  <si>
    <t xml:space="preserve">CPA in Action: Improving Mathematics  Teaching </t>
  </si>
  <si>
    <t>"CPA in Action: Improving Mathematics Teaching</t>
  </si>
  <si>
    <t>For Release / Claimed  by: Franckris Basijan</t>
  </si>
  <si>
    <t>HRD2026_140</t>
  </si>
  <si>
    <t>"Capacity Building: Training on Institutionalizing Gender Responsive Governance and Enacting Enabling Legislation</t>
  </si>
  <si>
    <t>March 6-7, 2026</t>
  </si>
  <si>
    <t>White Rock Beach Hotel,Subic, Zambales</t>
  </si>
  <si>
    <t>*  Defining Gender Equality vs. Equality in  the Classroom" *  Magna Carta of Women (Repubic Act No. 9710")  * "LSC: A Child-Care Facility for Navigating Challenges ")  * Together Everyone AchievesMore</t>
  </si>
  <si>
    <t>HRD2026_141</t>
  </si>
  <si>
    <t>Sta. Cruz ES</t>
  </si>
  <si>
    <t>SCHOOL LAC SESSION: ABC TO MASTERY - ELEVATING LITERACY INTERVENTIONS OF ENGLISH AND KINDERGARTEN PROFICIENT TEACHERS</t>
  </si>
  <si>
    <t>March 4-6, 2026</t>
  </si>
  <si>
    <t>School ICT Room</t>
  </si>
  <si>
    <t>a. Enhance their knowledge on effective reading instruction, communicative language teaching and the development of learners' hogher-order thinking skills;                                                                            b. Identify effective teaching strategies and assessments aligned with specific reading competencies;                                                                c. Reflect on one's teaching practices on reading</t>
  </si>
  <si>
    <t>For Release / Claimed by: Arvin B. Romasanta</t>
  </si>
  <si>
    <t>HRD2026_142</t>
  </si>
  <si>
    <t>School LAC Session on Mastering the CPA Triad: Empowering Mathematics Teachers' through Content, Pedagogy and Assessment Redefined</t>
  </si>
  <si>
    <t>March 2-6, 2026</t>
  </si>
  <si>
    <t>Grade 2 - Presas Room</t>
  </si>
  <si>
    <t>a. demonstrate a solid understanding of key Stage 1 mathematics content areas;                                                        b. apply varied and effective pedagogical approaches in teaching mathematics concepts to young learners;                                        c. integrate assessment-for-learning practices to provide timely and meaningful feedback to students                                        d. develop lesson plans and teaching materials that utilize both technology and localized resources for engaging mathematics instruction; and                                         e. develop a personalyzed action plan to sustain and monitor the implementation of the CPA triad in their teaching practice.</t>
  </si>
  <si>
    <t>HRD2026_143</t>
  </si>
  <si>
    <t>EMPOWERING ENGLISH 8 TEACHERS TO DEVELOP HIGHER-ORDER THINKING SKILLS THROUGH DIFFERENTIATED LITERATURE ACTIVITIES</t>
  </si>
  <si>
    <t>Feb. 19, 20, 23, 24, 25, 2026</t>
  </si>
  <si>
    <t>1. Design HOTS-aligned instruction - Formulate hisher-order thinking questions and create activities that develop critical thinking within limited class time.                                                                       2. Implement differentiated strategies - Use tiered tasks, scaffolding, and flexible grouping to meet diverse learner needs.                                                    3. Develop meaningful assessments - Construct HOTS-based tasks with clear rubrics and exemplars for fair and consistent evaluation.                                                    4. Contextualized literature - Connect text to learners' experiences, culture, and interests to enhance engagement.</t>
  </si>
  <si>
    <t>HRD2026_144</t>
  </si>
  <si>
    <t>"FROM OBSERVATION TO ACTION: A LEARNING ACTION CELL ON RESEARCH-BASED, INCLUSIVE, AND PPST-ALIGNED TEACHING PRACTICES"</t>
  </si>
  <si>
    <t>Feb. 9-11 2026, Feb. 17,18,20, 2026</t>
  </si>
  <si>
    <t>ACG Computer Lab, Library</t>
  </si>
  <si>
    <t>1. Identify key instructional gaps in English teaching through classroom observation and self-assessment (PPST 1.2.2,3.3.2)                                                                 2. Integrate English content across learning areas to promote cross-curricular connectons (PPST 1.1.2)                                                  3. Design lesson exemplars that are researh-based, inclusive, and aligned with PPST standards (PPST 1.2.2, 3.3.2)                              4. Apply varied strategies to improve learners' reading comprehension, writing, vocabulary, and oral communications (PPST 1.4.2)                                                             5. Collaborate with peers to share effective teaching practices, provide feedback, and refine lesson exemplars (MT II . School LAC Leader role)                                       6. Demonstrate improved classroom performance by implementing the developed lesson exemplars and achieving the highest rating in classroom observation (score of 6).</t>
  </si>
  <si>
    <t>HRD2026_145</t>
  </si>
  <si>
    <t>Bagong Nayon II NHS</t>
  </si>
  <si>
    <t>"UNIFIED IN PURPOSE, DIVERSE IN SERVICE: STRENGTHENING GENDER-RESPONSIVE TEAMS ACROSS TEACHING AND GOVERNANCE</t>
  </si>
  <si>
    <t>March 31 - April 1, 2026</t>
  </si>
  <si>
    <t>within CALABARZON</t>
  </si>
  <si>
    <t>1. enhance the overall quality of numeracy instruction by demonstrating knowledge and understanding of                     a. reorient participants on D.O. 32 s. 2017 and its implications for workplace and educational policies                                      b. describe the roles of teaching and non-teaching personnel in promoting gender equality and inclusivity in the school setting                                                                                c. demonstrate understanding of gender-fair practices in instruction, workplace interaction, and service delivery                       d. identify practical strategies to prevent gender-based discrimination, harassment and violence in the school and workplace                                                                                                      e. apply gender-resposive approaches in performing daily tasks and in workplace decisin-making processes</t>
  </si>
  <si>
    <t>For Release / Claimed by Shama Vallespin</t>
  </si>
  <si>
    <t>HRD2026_146</t>
  </si>
  <si>
    <t>San Jose NHS</t>
  </si>
  <si>
    <t>WOMEN'S MONTH CELEBRATION 2026 Theme: "WE GENDER EQUALITY AND INCLUSIVE SOCIETY"</t>
  </si>
  <si>
    <t>a. Provide an avenur for women to be appreciated for their important accomplishments and hard work;                    b. Strengthen the campaign to increase the level of awareness on women's rights, opportunities, and welfare and on gender equality and inclusivity through advocacy campaigns, collage, gallery walk and photo wall;                                                             c. Show compassion and commitment towards gender equality and inclusivity;                                           d. And recognize and empower women, female parent and female teachers within the school</t>
  </si>
  <si>
    <t>HRD2026_147</t>
  </si>
  <si>
    <t>Capacity Building of Teachers on PPST 3.1.2 used Differentiated, Developmentally Appropriate Leraning Experiences to Address Learners, Gender , Needs , Strengths, interests and Experiences VIA School -Based Learning Action Cell</t>
  </si>
  <si>
    <t>ICT and LIbrary</t>
  </si>
  <si>
    <t xml:space="preserve">Topic:" The Catalysts"  ( Addressing Learners'Experiences, Gender Needs, Strengths Interests &amp; Experiences </t>
  </si>
  <si>
    <t>HRD2026_148</t>
  </si>
  <si>
    <t>Nazarene Ville ES</t>
  </si>
  <si>
    <t>Enhancing Assessment in Araling Panlipunan: Test Construction  Issues and Fixes through Learning Action Cell</t>
  </si>
  <si>
    <t>Schol ICT Room</t>
  </si>
  <si>
    <t>Session: Test Construction issues and fixes</t>
  </si>
  <si>
    <t>For Release /Claimed by:  AO Asnawi</t>
  </si>
  <si>
    <t>HRD2026_149</t>
  </si>
  <si>
    <t>Antipolo City SPED Center</t>
  </si>
  <si>
    <t xml:space="preserve">School LAC Session on the Conduct of Orientation of DepEd Officials on Special Needs Education Program, Activities, Policies and Guidelines </t>
  </si>
  <si>
    <t>Feb. 26-27, 2026</t>
  </si>
  <si>
    <t>OT room</t>
  </si>
  <si>
    <t>Topic 1: Orientation on RA 11650"  Instituting a Policy of Inclusion and Services for Learners with Disabilities in Support of Inclusive Educational Act",  Topic 2: Practical Strategies for Advancing/ Inclusive Education Implementation in the Philippines.  Topic 3: Policy Guidelines  on the Provision</t>
  </si>
  <si>
    <t>HRD2026_150</t>
  </si>
  <si>
    <t>"ABC to Mastery : Elevating Literacy interventions of English and Kindergarten Proficient Teachers</t>
  </si>
  <si>
    <t xml:space="preserve">Feb. 24, 2026 </t>
  </si>
  <si>
    <t>Topic : Progress Monitoring and Evaluation and Conduct of LAC  / Completion of Reports</t>
  </si>
  <si>
    <t>For release/ Claimed by:Noralyn Pillas</t>
  </si>
  <si>
    <t>HRD2026_151</t>
  </si>
  <si>
    <t>""Clasroom Management : Managing Learners' Behavior to create a Positive learning environment"</t>
  </si>
  <si>
    <t>March 5-6, 2026</t>
  </si>
  <si>
    <t>ICT room</t>
  </si>
  <si>
    <t>Topic: "Classroom Management: Managing Learners' Behavior  to  Create a Positive Learning Environment"</t>
  </si>
  <si>
    <t>HRD2026_152</t>
  </si>
  <si>
    <t>Kaysakat NHS</t>
  </si>
  <si>
    <t>Proper Handling of Learner Discipline Cases Aligned with the DepEd Child Protection Policy</t>
  </si>
  <si>
    <t>Session: SLAC 05: Proper handling of Learner Discipline Cases Aligned with the DepEd Child Protection Policy"</t>
  </si>
  <si>
    <t>HRD2026_153</t>
  </si>
  <si>
    <t>Safe Spaces, Kasali Tayo: Empowering School Personnel for A Gender-Responsive and violence - Free Learning and working Environment</t>
  </si>
  <si>
    <t>Pranjetto Hills Resort and Conference Center, Sitio Mayagay, Barangay Sampalok, Tanay Rizal</t>
  </si>
  <si>
    <t>* Revisiting Safe Spaces Act( Republic Act No.11313)  * Teacher and School Staff Responsibilities and Liabilities Under Safe Spaces Act   *  Craeting Gender Safe classroom and work place: Identifying and addressing Forms of Harassment   * Mental health</t>
  </si>
  <si>
    <t>For release/Claimed By:Mam Del Rosario</t>
  </si>
  <si>
    <t>HRD2026_154</t>
  </si>
  <si>
    <t>Taguete ES</t>
  </si>
  <si>
    <t>School LAC Session on Literacy Interventions of English and Kindergarten Teachers</t>
  </si>
  <si>
    <t>School's Science room</t>
  </si>
  <si>
    <t xml:space="preserve">* Laying the Groundwork: Building Blocks for early Literacy  * Communicative Language Teaching in Reading  *  Day 2 : * Strengthening Critical Thinking Through Reading  * Reading strategies for Diverse Learning needs </t>
  </si>
  <si>
    <t>For Release/ Claimed by:  AO / Mam Fritz Roxas</t>
  </si>
  <si>
    <t>HRD2026_155</t>
  </si>
  <si>
    <t>Empowerin Parents: A Seminar on Guidance Against Gender Based Sexual Harassment (GBSH)</t>
  </si>
  <si>
    <t>at Knights of Columbus ES</t>
  </si>
  <si>
    <t>Topic: Parental Guidance on Gender-based sexual harassment. RA 11313)Ssfe Space Act) * Mental Health Enrichment</t>
  </si>
  <si>
    <t>For Release/ Claimed By: Mam Del Rosario</t>
  </si>
  <si>
    <t>HRD2026_156</t>
  </si>
  <si>
    <t>LAC Proposal on the Selection, Development, Organization, and the use of Appropriate Teaching and learning resources, including  ICT, to address Learning Goals</t>
  </si>
  <si>
    <t>DPWH Building , 2nd floor</t>
  </si>
  <si>
    <t>Session Proper: Various Teaching and Learning Resources, including ICT (Print and non-print) / Presentation of outputs</t>
  </si>
  <si>
    <t>For Release/ Claimed by: Genalyn D. Hernandez</t>
  </si>
  <si>
    <t>HRD2026_157</t>
  </si>
  <si>
    <t>LAC Proposal on Collaborative classroom management strategies to engage learners through individual and group Exploration, Discovery, and Hands-on Activities</t>
  </si>
  <si>
    <t>Session Room</t>
  </si>
  <si>
    <t>Topic: " Classroom Management Strategies to engage Learners Through Individual and Group Exploration, Discoery, and hands-on Activities / Presentation of outputs</t>
  </si>
  <si>
    <t>HRD2026_158</t>
  </si>
  <si>
    <t>LAC Proposal on Review of the Design, Selection , Organization, and use of Effective assessment Strategies Aligned with Curriculum Requirements</t>
  </si>
  <si>
    <t xml:space="preserve">Session Proper : - Various types of Assessment / Presentation of outputs </t>
  </si>
  <si>
    <t>HRD2026_159</t>
  </si>
  <si>
    <t xml:space="preserve">Collaborative Reflection and Feedback in Guiding Effective Resource Selection and ICT Integration </t>
  </si>
  <si>
    <t>Sumilang ES DPWH Building</t>
  </si>
  <si>
    <t>* Collaborative Reflection and Feedback in Guiding Effective Resource Selection and ICT Integration</t>
  </si>
  <si>
    <t>For Release/ Claimed by: Sir Gavino</t>
  </si>
  <si>
    <t>HRD2026_160</t>
  </si>
  <si>
    <t>Collaborative Assessment Review and Data Interpretation for Learner Progress</t>
  </si>
  <si>
    <t>HRD2026_161</t>
  </si>
  <si>
    <t>Strengthening Instructional Practices through Peer Evaluation in Literacy and Numeracy ( PPST 1.4.3)</t>
  </si>
  <si>
    <t>Strengthening Instructional Practices through peerEvaluation in Literacy and Numeracy</t>
  </si>
  <si>
    <t>HRD2026_162</t>
  </si>
  <si>
    <t>School-Based Learning Action Cell (LAC) Session on Reechoing the division Training Program on Strengthening Pedagogy and assessment in Araling  Panlipunan</t>
  </si>
  <si>
    <t>Feb. 25-26, 2026</t>
  </si>
  <si>
    <t>Knights of Columbus Es Faculty Room</t>
  </si>
  <si>
    <t xml:space="preserve">* Deepening Content Knowledge in Critical Themes of Araling Panlipunan  * Innovative and Interactive Strategies in Teaching Araling Panlipunan * Synthesizing / Workshop/ Wrapping Up  / Recap / * Test Construction in Araling Panlipunan  / Test Validation </t>
  </si>
  <si>
    <t>HRD2026_163</t>
  </si>
  <si>
    <t xml:space="preserve">Learning and Development Design&amp; Proposal Package " Holistic Literacy: ARAL Reading Remediation Infused with SEL" </t>
  </si>
  <si>
    <t>Conference Room</t>
  </si>
  <si>
    <t>Topic: Holitic Literacy: ARAL Reading Remediation Infused with SEL"</t>
  </si>
  <si>
    <t>For Release/ Claimed by : Mam Jennet C. Maalindog</t>
  </si>
  <si>
    <t>HRD2026_164</t>
  </si>
  <si>
    <t xml:space="preserve">Roll-out Training on Inclusive Education and Individualized Education Plan (IEP) </t>
  </si>
  <si>
    <t>no venue</t>
  </si>
  <si>
    <t>* Discuss the Republic ActNo. 11650 and it Slient Features: Promoting  Equal access to quality education for Learners with disabilities  * Discuss the Learners'Diversity &amp; Inclusive Education : Recognizing differences, using inclusive strategies, and promoting equity, respect, and participation * Formal and informal Assessment ofLWD: Introduction, Procedures, Tools, and Strtegies * Workshop1: Preparation and Presentation of Informal assessment Tools * IndividualizedEducation Plan (IEP): MDT &amp; SIT Framework, Components, and Develoment Process Workshop II : Crafting of Individualized Education Plan (IEP) &amp; MDT/ SIT Action Plan:   ? Presenttion of outputs</t>
  </si>
  <si>
    <t>For Release/ Claimed by: Sir Villaruz</t>
  </si>
  <si>
    <t>HRD2026_165</t>
  </si>
  <si>
    <t>Women's Month Celebration   Theme: We for Gender Equality and Inclusive Society</t>
  </si>
  <si>
    <t>3/ 1-31/2026</t>
  </si>
  <si>
    <t>* Slogan Cum Card making contest during homeroom guidance Time. * Advisers will submit photos of the implementation of the activity.  /  * Slogan Cum Card making contest During Homeroom Guidance Time . * To be submitted to the Assigned GFPS mmbers  * Advisers will submit the best works of their class to the Assigned GFPS members * Posting of best works of slogan cum card / Posting of women appreciation card on bulliten board</t>
  </si>
  <si>
    <t>HRD2026_166</t>
  </si>
  <si>
    <t>Strengthening Assessment Practices through Collaborative Review of Diagnostic, Formative, and summative Assessments (5.1.3)</t>
  </si>
  <si>
    <t>School Learning Action Cell (SLAC) Collaborative Review and Enhancement of Assessment Strategies in Alignment with Curriculum Standards (PPST 5.1.3)</t>
  </si>
  <si>
    <t>For Released</t>
  </si>
  <si>
    <t>HRD2026_167</t>
  </si>
  <si>
    <t>2026 National women's Month Celebration</t>
  </si>
  <si>
    <t>Marc 1-31, 2026</t>
  </si>
  <si>
    <t>N/A</t>
  </si>
  <si>
    <t>Claimed by: Mam Rachel D. Abejero</t>
  </si>
  <si>
    <t>HRD2026_168</t>
  </si>
  <si>
    <t>Capacity Building of Teachers on PPST Indicator 4.4.2 Participated in Collegial Discussion that use Teacher and Learner feedback to Enrich Teaching Practice</t>
  </si>
  <si>
    <t>Jan. 5-9, 12-14, 16-30 , Feb. 23, 2026</t>
  </si>
  <si>
    <t>No Venue</t>
  </si>
  <si>
    <t>Session: PPST Indicator 4.4.2 Participated in Collegial Discussion that Use Teacher and Learner Feedback to Enrich Teaching Practice / * Instructional Coaching and other collegfial discussions</t>
  </si>
  <si>
    <t>Claimed by:  Mam Ramos</t>
  </si>
  <si>
    <t>HRD2026_169</t>
  </si>
  <si>
    <t>Calawis NHS</t>
  </si>
  <si>
    <t>School- Based Gender and Development Activities in Celebration of National women's month 2026  "We for Gender Equality annd Inclusive Society</t>
  </si>
  <si>
    <t>March 2, 3, 6, 13, 19,  2026</t>
  </si>
  <si>
    <t xml:space="preserve">Kick-off Women's Month Celebration Opening / Statement of objectives and the importance of recognizing and celebrating the womens month. * Kapihan ni Juna Corner and * Freedomword writing all positive notes about women empowerment and squal righrts .  /  * Tinig Ni Juan - Listening to womens Powerful voices as they share their thoughs on safe spaces and women empowerment    Activity 1: We can be equa; Collaborative Campaign Poster Making Contest on Gender - Equality safe spacesand Gender rights for Grade 7 to 8  / Activity 2 :  Juana Says  campaign video making contest and photo contest for Natatanging Babae  recognizing women who made valuable contribution in ourlocal community for all Senior high School Students. </t>
  </si>
  <si>
    <t>Claimed by Sir Alvarez</t>
  </si>
  <si>
    <t>HRD2026_170</t>
  </si>
  <si>
    <t>"Gauging Minds"TheArt of Assessment in Araling Panlipunan</t>
  </si>
  <si>
    <t>March 5&amp; 6, 2026</t>
  </si>
  <si>
    <t xml:space="preserve"> Audio Visual Room</t>
  </si>
  <si>
    <t>Topic:  Gauging Minds"The Art of Assessment in Araling Panlipunan  ?  Crafting Reliable Assessment Questions</t>
  </si>
  <si>
    <t>Claimed by: Cyrine S. Reonisto</t>
  </si>
  <si>
    <t>HRD2026_171</t>
  </si>
  <si>
    <t>SLAC:  "CPA in Action : Improving Mathematics Teaching</t>
  </si>
  <si>
    <t>Feb. 26, 2026/ March 2, 2026</t>
  </si>
  <si>
    <t>School ICT ROOM</t>
  </si>
  <si>
    <t>* Concepts in Foundational mathematics - Effective teaching strategies / Concrete Pictorial abstract approach, problem- solving technigues) * Classroom management for math activities / Role of technology in early math  /* Concepts in Foundatinal mathematicsAntipolo</t>
  </si>
  <si>
    <t>HRD2026_172</t>
  </si>
  <si>
    <t>Resource Speaker Invitation</t>
  </si>
  <si>
    <t>"Creating Gender-Responsive and safe Schools: A GAD Training Workshop"</t>
  </si>
  <si>
    <t>Confirmed</t>
  </si>
  <si>
    <t>HRD2026_173</t>
  </si>
  <si>
    <t>School Learning Action Cell (SLAC) Proposal pPart II "Teaching in a Hyperconnected World: Fostering Responsible and Conscious Media  Consumption</t>
  </si>
  <si>
    <t>Library</t>
  </si>
  <si>
    <t>Topic 1: Teaching Digital and Non-Digital Resources applied to lesson plan   Topic2: ICT Applied Enhanced Learning Resource to the Lesson plan  Topic 3: Learning ICT Pathway through Scaffolding  Activity aligned to the lesson plan  Topic 4: Use of Digital Media to lesson plan</t>
  </si>
  <si>
    <t>Not yet started</t>
  </si>
  <si>
    <t>HRD2026_174</t>
  </si>
  <si>
    <t xml:space="preserve">3-day School LAC Session on Designing, selecting, organizing and using assessment strategies and appropriate teaching learning resources, Monitoring and evaluating learner progress and achievement, and enhancing teachers ownlearner-centered teaching philosophy. </t>
  </si>
  <si>
    <t>March 16-18, 2026</t>
  </si>
  <si>
    <t xml:space="preserve">School LRC </t>
  </si>
  <si>
    <t xml:space="preserve">Topic 1: Designing, Selecting, Organizing, and using Assessment Strategies andTeaching- Learning Resources  / * Monitoring and Evaluating Leraner Progress and Achievement / * Enhancing Teachers'Learner- Centered Teaching Philosophy </t>
  </si>
  <si>
    <t>HRD2026_175</t>
  </si>
  <si>
    <t>(SLAC) "Enuring Excellence: Strengthening Learning Resource Quality Assurance"</t>
  </si>
  <si>
    <t>Topic: Ensuring Excellence: Strengthening Learning Resources Quality assurance</t>
  </si>
  <si>
    <t>HRD2026_176</t>
  </si>
  <si>
    <t>Antipolo City National Science and Technology HS</t>
  </si>
  <si>
    <t>"From Approved Research Proposals to Data-Driven Findings; Strengthening Teachers' Competence  in Writing Meaningful Action Research".</t>
  </si>
  <si>
    <t>fEB. 10, 17, 20, 2026</t>
  </si>
  <si>
    <t>At ACNSTHS</t>
  </si>
  <si>
    <t>Topic 1: Organizing and Analyzing Research Data ( DepEd - Aligned)  Topic 2: Tips In Writing The Discussion Based on DepEd Format Topic 3: Tips in Writing Claer and Meningful findings / Topic 4: writing Conclusions and Recommendations</t>
  </si>
  <si>
    <t>HRD2026_177</t>
  </si>
  <si>
    <t>"Leveraging Learner Data for Monitoring, Evaluation, and RPMS-PPST Means of Verification preparation</t>
  </si>
  <si>
    <t>Marh 9-13, 2026</t>
  </si>
  <si>
    <t>Grade 3 Building</t>
  </si>
  <si>
    <t>Phase 1: PLanning and Design / Phase 2: Module Development and Resource Preparation / Phase3: Implementation of SLAC Sesions / Phase 4: Documentation, Assessment, and Evaluation</t>
  </si>
  <si>
    <t>HRD2026_178</t>
  </si>
  <si>
    <t>Teaching Practices that work: Managing Classrooms, Differentiating Learning, and assessing for improvement TLE- Grade 8 Level</t>
  </si>
  <si>
    <t>Feb. 20, 24, 25, 2026</t>
  </si>
  <si>
    <t>Session : Classroom Management Issues  *  Design Differentiated Activities in TLE * Use of Assessment tools and Results</t>
  </si>
  <si>
    <t>Claimed by : mam Serafica</t>
  </si>
  <si>
    <t>HRD2026_179</t>
  </si>
  <si>
    <t xml:space="preserve">Creating Gender-Responsive and Safe Schools: A GAD Training workshop </t>
  </si>
  <si>
    <t>Taguete ES / Ten Cents to Heaven Leisure Camp, Sitio Mayagay II Marcos Highway, Tanay, Philippines</t>
  </si>
  <si>
    <t>Topic: Legal Foundation of GAD in the Philippines: Key Provisions of Safe Spaces Act.   *Reporting Mechanisms and grievance procedures  * Awareness on Violence Against Women Children (VAWC) Day 2: Reponsibilities of Teachers and School Personnel implementing mandates  / Common Gender biases in the Classroom and School environment  / Training workshop</t>
  </si>
  <si>
    <t>Claimed by; Fritz Roxas</t>
  </si>
  <si>
    <t>HRD2026_180</t>
  </si>
  <si>
    <t>"Strengthening Teaching Effectiveness Through PISA-Based Assessment Practices." / AP, ESP, and Filipino</t>
  </si>
  <si>
    <t>March 10-11, 2026</t>
  </si>
  <si>
    <t xml:space="preserve">1. Develop PISA-Based assessment items and tasks aligned with the MELCs for AP, EsP, and Filipino subjects.                                           2. create simple scoring tools such as rubrics and checklists to assess learners' reasoning, comprehension, and communication skills.                                                 3. Integrate PISA assessment into quarterly examination and interventions to strenthen effectice teaching and learning.                   </t>
  </si>
  <si>
    <t>HRD2026_181</t>
  </si>
  <si>
    <t>Transform you Classroom: A PMES-ALIGNED LAC SESSION ON EFFECTIVE TEACHING, ICT, NUMERACY/LITERACY, &amp; MANAGEMENT</t>
  </si>
  <si>
    <t>Feb. 9-11, 2026</t>
  </si>
  <si>
    <t>a. Numeracy and Literacy(PPST Indicator 1.4.2): Teachers will enhance students' numeracy and literacy skills by implementing targeted strategies, using visual aids, developing comprehensive activities, and effectively assessing student progress                                                                     b. Classroom Mnagement (PPST Indicator 2.3.2): Teachers will establish clear rules, implement positive behavior strategies, use effective communication, manage routines efficiently, and address challenging behaviors constructively                                            c. Differentiated Instruction (PPST Indicator 3.1.2): Teachers will address diverse learning needs by adapting materials, providing varied activities, using flexible grouping, and creating an inclusive environment                                         d. Learner-Centered Teaching Philosophy (PPST Indicator 7.1.2): Teachers will design engaging lesssons, encourage collaboration, provide students choice, use effective questioning, and create a participatory classroom environment                                                 e. ICT Integration: Teachers will integrate ICT tools by identifying appropriate resources, enhancing lesson delivery, using online platforms, developing digital materials, ang promoting responsible ICT use.</t>
  </si>
  <si>
    <t>HRD2026_182</t>
  </si>
  <si>
    <t>SCHOOL LEARNING ACTION CELL (SLAC) SESSION ON ABC TO MASTERY: ELEVATING LITERACY INTERVENTION OF ENGLISH AND KINDERGARTEN PROFICIENT TEACHER</t>
  </si>
  <si>
    <t>March 9-13,2026</t>
  </si>
  <si>
    <t>a. demonstrate strong, comprehensive literacy skills by reading a variety of age-appropriate texts with a clear understanding, writing well-organized and meaningful compositions for different purposes;                                                                 b. apply effective vocabulary, comprehension, and communication strategies in both academic tasks and real-life situations;                                                     c. apply effective instructional strategies that support the academic and social success of diverse learners in inclusive classroom settings;                                               d. create instructionally aligned plans where objectives, strategies, and assessments are fully congruent                               e. design and facilitate reading instruction that effectively develops learners' critical thinking skills by integrating higher-order questioning;                                                            f. apply communicative Language Teaching (CLT) strategies to enhance learners' reading comprehension</t>
  </si>
  <si>
    <t>HRD2026_183</t>
  </si>
  <si>
    <t>Project Mga BaGANI (Bata at Guro, Antas Natin Itaas) ARALING PANLIPUNAN S.Y. 2025-2026</t>
  </si>
  <si>
    <t>March 9-11, 2026</t>
  </si>
  <si>
    <t>1. Discuss the Bloom's Taxonomy.                                                                                    2. Discuss the processes of designing assessment tools.                                                                   3. Develop multiple choice type of items.                          4. Explain distractors for the multiple-choice items.                                                                                                                            5. Prepare test questions vis-a-vis the curricular guide                                                                                                                       6. Critique the develooped assessment and performance tasks.                                                                                                    7. Revised the assessment items based on comments and suggestions given during the critiquing</t>
  </si>
  <si>
    <t>HRD2026_184</t>
  </si>
  <si>
    <t>LEARNING ACTION CELL (LAC) SESSION ON ASSESSMENT AND TEST PREPARATIONS S.Y 2025-2026</t>
  </si>
  <si>
    <t>Feb. 12, 13 and 16, 2026</t>
  </si>
  <si>
    <t>1. Review the principles and standards of effective classroom assessment;                            2. Provide guidance on preparing assessment tools and evaluating their quality;                                                                  3. Discuss best practices in administering assessments and ensuring test integrity;            4. Equip teachers with strategies for preparing learners for periodic tests and school-based assessments</t>
  </si>
  <si>
    <t>HRD2026_185</t>
  </si>
  <si>
    <t>"Teaching Practices that Work: Managing Classrooms, Differentiating Learning, and Assessing for Improvement" TLE-Grade 8 Level"</t>
  </si>
  <si>
    <t>1. To assess teachers' competencies in implementing enhanced classroom management practices and effective strategies that address learner behavior, engagement, participation and constructive feedback on classroom experiences                                                               2. To determine teachers' capability to design and implement differentiated learning activities that are responsive to learner's gender, individual needs, strengths and prior practices.                            3. To evaluate teachers' knowledge and skills in utilizing effective formative and summative assessment that are aligned with curriculum standards and used to improve instructional decision making          4. To identify gaps between current teaching practices and expected competencies related to classroom management, differentiated instruction, and assessment</t>
  </si>
  <si>
    <t>Claimed by: Mam Serafica</t>
  </si>
  <si>
    <t>HRD2026_186</t>
  </si>
  <si>
    <t>(LAC) Deign on the Roll out of ABC to Mastery: Elevating Literacy Interventions of English and Kindergarten Proficient Teachers</t>
  </si>
  <si>
    <t>Upper Kilingan ES</t>
  </si>
  <si>
    <t>a. Provide necessary information relative to the implementation of elevating literacy Interventions of English and Kindergarten Proficient Teachers  b. Improved and simplified processes of elevating Literacy interventions of English and Kindergarten Proficient  taechers</t>
  </si>
  <si>
    <t>HRD2026_187</t>
  </si>
  <si>
    <t xml:space="preserve">(SLAC) Session on Crafting meaningful Assessment: A Practical Guide to Designing Effective Evaluation Tool Aligned to National Assessment </t>
  </si>
  <si>
    <t>March 4-6 , 11, 13, 2026</t>
  </si>
  <si>
    <t>Session 1: "Principles of Assessment  Session 2: "Crafting A better Test and the Art of Item Writing for Classroom BASED Assessments  Session 3: "Writing and Critiquing: Crafting Classroom based assessment aligned with the national standards.  Session 4: " Standardizing Success: Writing Items for Classroom-Based assessments  Session 5:"PISA and Classroom Assessment: Principles, Parallels, and Particularities Session 6: " Writing nd Critiquing: Crafting Classroom - based assessment aligned with the national standards.</t>
  </si>
  <si>
    <t>HRD2026_188</t>
  </si>
  <si>
    <t>GAD Training 2026  "Orientation on the benefits and Privileges under Section 18 of Magna Carta for Women</t>
  </si>
  <si>
    <t>April 6-7, 2026</t>
  </si>
  <si>
    <t>Asmeña Point Beach Resort, Dasol, Pangasinan</t>
  </si>
  <si>
    <t>Session 1: Rights and Privileges of Women in the Workplace and Government Services" / Session 2: Promotig Gender Equality through Section 18 of Magna  Carta for Women</t>
  </si>
  <si>
    <t>Claimed by: mam Digna Orge</t>
  </si>
  <si>
    <t>HRD2026_189</t>
  </si>
  <si>
    <t>Improving Reading Fluency and Comprehension of Grade 2 Learners Through Teachers' Intervention</t>
  </si>
  <si>
    <t>*  Shared effective classroom strategies and best practices in reading instruction.  *  Developed and implemented appropriate reading interventions for struggling readers</t>
  </si>
  <si>
    <t>HRD2026_190</t>
  </si>
  <si>
    <t>PROPOSAL FOR THE SCHOOL LAC SESSION ON THE REVIEW OF PMES INDICATORS GUIDELINES AND MOVs FOR PROFICIENT TEACHERS</t>
  </si>
  <si>
    <t>2nd Floor, Grade 5 Bldg</t>
  </si>
  <si>
    <t>a. Orient teachers on the PMES 2025-2026 with emphasis on classroom observable and non-classroom observable indicators               b. Provide knowledge and understanding on the Means of Verification in every indicators during the presentation of Teacher's Year-End Accomplishments              c. Strengthen Proficient Teachers' understanding at PPST-aligned indicators; and                                                                           d. Promote classroom observation as a tool for professional growth and instructional development</t>
  </si>
  <si>
    <t>For Release / Claimed by: mam Tuazon</t>
  </si>
  <si>
    <t>HRD2026_191</t>
  </si>
  <si>
    <t>LAC PROPOSAL ON COLLABORATIVE INTERPRETATION, MONITORING, AND EVALUATION OF ATTAINMENT DATA TO SUPPORT LEARNER PROGRESS AND ACHIEVEMENT</t>
  </si>
  <si>
    <t>DPWH Bldg</t>
  </si>
  <si>
    <t>1. Understand the importance of assessing learners and analyzing performance data to identify literacy and numeracy gaps.                                                   2. Examine the results of CRLA and RMA assessments to determine learners' strengths, priority skill gaps, and least mastered competencies.                                   3. Collaboratively interpret attainment data with colleagues to identify trends and inform instructional decisions.             4. Develop targeted intervention plans aligned with the ARAL framework to support learners who need additional assistance applicable to Kindergarten and Grade 1 classes.                                                5. Design responsive strategies and  interventions based on analyzed data to support literacy and numeracy recovery.          6. Inspire ARAL Program teachers to embrace shared accountability, evidence-based decision-making, and continuous improvement.</t>
  </si>
  <si>
    <t>HRD2026_192</t>
  </si>
  <si>
    <t>Proposal for the School LAC Session on the Conduct of LAC Session for School Grade Leadres and Coordinators</t>
  </si>
  <si>
    <t>March 10 &amp; 20, 2026</t>
  </si>
  <si>
    <t>School Session Room</t>
  </si>
  <si>
    <t xml:space="preserve">Session Proper : SLAC on the Conduct of LAC  session for School Grade Leadersand Coordinators </t>
  </si>
  <si>
    <t>For Release/Claimed By: Mam Tuazon</t>
  </si>
  <si>
    <t>HRD2026_193</t>
  </si>
  <si>
    <t>LAC PROPOSAL ON COLLABORATIVE REVIEW OF LEARNERS' BEHAVIOR AND PARTICIPATION FEEDBACK TO IMPROVE CLASSROOM MANAGEMENT STRATEGIES</t>
  </si>
  <si>
    <t>a. identify common classroom behavior and participation issues using actual learner feedback and observation records         b. Analyze how learner behavior and participation affect classroom management and learning engagement           c. Share and evaluate effective classroom management practices with colleagues during practices                                                    d. Develop improved classroom management strategies based on the analysis and shared practices                             e. Apply effective strategies to improve classroom management.</t>
  </si>
  <si>
    <t>For Release/ Claimed by Mam Tuazon</t>
  </si>
  <si>
    <t>HRD2026_194</t>
  </si>
  <si>
    <t>PROPOSAL FOR THE SCHOOL LAC SESSION ON STRENGTHENING DIFFERENTIATED INSTRUCTION THROUGH COLLABORATIVE TEACHING PRACTICES</t>
  </si>
  <si>
    <t>1. Identify learner differences in gender, needs, strengths, interest, and experiences based on classroom data and observations.                                                                                                                                                                                                 2. Share current practices and challenges in implementing differentiated instruction.                                                                3. Discuss effective, developmentally appropriate strategies to address learner diversity.                                                         4. Collaboratively develop sample differentiated lessosn activities and classroom strategites.</t>
  </si>
  <si>
    <t>For Release Claimed by: Mam Tuazon</t>
  </si>
  <si>
    <t>HRD2026_195</t>
  </si>
  <si>
    <t>Proposal for the School LAC Session on the Enhancing Learner Engagement Through Collaborative Classroom Management Techniques</t>
  </si>
  <si>
    <t>DPWH  building</t>
  </si>
  <si>
    <t>A. A Sample Learner-Centered lesson plan incorporating exploration, discovery, and hands-on learning. B. Reflection sheets or commmitment forms indicating teachers'plans to emplement the learned strstegies in their respective classrooms.</t>
  </si>
  <si>
    <t>HRD2026_196</t>
  </si>
  <si>
    <t>Proposal on Supporting Teachers in Adopting learner- Centered Teaching Approaches</t>
  </si>
  <si>
    <t>Nilo Leyble building</t>
  </si>
  <si>
    <t>Session Proper : Learner- Centered Teaching Approaches</t>
  </si>
  <si>
    <t>For Release/ Claimed by: Mam Francisco</t>
  </si>
  <si>
    <t>HRD2026_197</t>
  </si>
  <si>
    <t>PROPOSAL FOR THE SCHOOL LAC SESSION ON SELECTING DEVELOPING, AND USING ICT BASED-LEARNING RESOURCES TO ADDRESS SPECIFIC LEARNING GOAL</t>
  </si>
  <si>
    <t>a Identify specific learning goals and competencies that can be supported through ICT based-learning resources              b. Develop simple contextualized ICT based instructional materials (such as interactive presentation, short videos, or online assessment) aligned with identified learning objectives                                                                    c. Strengthen teachers' practical skills in ICT integration and;                                                     d. Demonstrate effective strategies in using ICT-based resources during instruction</t>
  </si>
  <si>
    <t>For Release / Mam Francisco</t>
  </si>
  <si>
    <t>HRD2026_198</t>
  </si>
  <si>
    <t>LAC PROPOSAL ON REVIEW THE DESIGN, SELECTION, ORGANIZATION AND USE OF A RANGE OF EFFECTIVE DIAGNOSTIC, FORMATIVE SUMMATIVE ASSESSMENT STRATEGIES CONSISTENT WITH CURRICULUM REQUIREMENTS</t>
  </si>
  <si>
    <t>a. Equip Proficient Teachers with the knowledge to ensure quality performance;                                                        b. Provide knowledge and understanding the right process in conducting LAC session for proficient teachers;                     c. Strengthen Proficient Teachers' capability to understand the performance objectives in conducting LAC session; and   d. Provide TA Provider and other raters a detailed reference ro help in the understanding of LAC implementation to ensure that mechanisms are in place to support teacher performance</t>
  </si>
  <si>
    <t>For Release Claimed by: Mam Francisco</t>
  </si>
  <si>
    <t>HRD2026_199</t>
  </si>
  <si>
    <t>1. Understand the importance of assessing learners and analyzing performance data to identify literacy and numeracy gaps                                                       2. Examine the results of CRLA and RMA assessments to determine learners' strengths, priority skill gaps, and least mastered competencies                                  3.. Collaboratively interpret attainment data with colleagues to identify trends and inform instructional decisions                 4. Develop targeted intervention plans aligned with the ARAL framework to support learners who need additional assistance applicable to Grade 4 classes                5. Inspire ARAL Program teachers to embrace shared accountability, evidence-based decision-making, and continuous improvement.</t>
  </si>
  <si>
    <t>For Release / Claimed by: Mam Francisco</t>
  </si>
  <si>
    <t>HRD2026_200</t>
  </si>
  <si>
    <t>2026 GAD Training with the theme: "Gender Sensitivity and work-Life Balance"</t>
  </si>
  <si>
    <t>April 17-18, 2026</t>
  </si>
  <si>
    <t>Water Park, Subic Zambales</t>
  </si>
  <si>
    <t>Topic 1:  DO 72 s. 2017 /  Topic 2: Gender Sensitivity and Healthy Working Environment</t>
  </si>
  <si>
    <t>For Release / Claimed by: mam  Cyrine</t>
  </si>
  <si>
    <t>HRD2026_201</t>
  </si>
  <si>
    <t>LAC Session on "Strengthening Science classroom instruction through the 2c-21-1R Teaching and Learning Approaches: workshop</t>
  </si>
  <si>
    <t>March 5 and 12, 2026</t>
  </si>
  <si>
    <t>Bagong Nayon IV ES Sci-Math Room</t>
  </si>
  <si>
    <t xml:space="preserve">Topic : Inquiry Based Approach 1. Cyclic Inquiry Method and Practice Inquiry Method 2. Knowledge Building Community Model 3. Expirement / Topic: Reflective Approach 1. Self-Evaluation 2. Self Reflect  / Workshop: Lesson Planning </t>
  </si>
  <si>
    <t>HRD2026_202</t>
  </si>
  <si>
    <t>"B.O.T.S. Session: Building Opportunities through Technology and Science</t>
  </si>
  <si>
    <t>at Dalig NHS</t>
  </si>
  <si>
    <t xml:space="preserve">* Analyze the Science / TLE Curriculum to pinpoint at least one specific lesson Simple Machines, Electricity, or ICt Programming where the kit can be used as a teaching aide. *  Draft a Performance Task"outline that requires students to solve a Problem using the robot  * </t>
  </si>
  <si>
    <t>For Release/ Claimed by Sir Allan</t>
  </si>
  <si>
    <t>HRD2026_203</t>
  </si>
  <si>
    <t>Responsive, Diverseand Strengthened Adapted and Implemented Learning Programs that Ensure Relevance and Responsive to the individual needs of Learner</t>
  </si>
  <si>
    <t>March 17- 19, 2026</t>
  </si>
  <si>
    <t>LRMS Classroom</t>
  </si>
  <si>
    <t>Session 1: Understanding Learner Diversity and school Context   / Session Title : Knowin our learners: Mapping Diversity in the classroom  Session 2: Designing Responsive Instruction and assessment / Session 3: Implementation, Monitoring, and Continuous improvement</t>
  </si>
  <si>
    <t>HRD2026_204</t>
  </si>
  <si>
    <t>Lac Session on the Alignment of Classroom and National Assessment in Mathematics</t>
  </si>
  <si>
    <t>March 16-20, 2026</t>
  </si>
  <si>
    <t xml:space="preserve">Session 1: Principles of Assessment Literacy Session 2: National Assessment aat a Glance  Session 3 &amp;4 :Crafting Better Tests: The Art of itrm writing for classroom based Assessment  Session 5 Standardizing Success: writing Items for Classroom - Based Assessment </t>
  </si>
  <si>
    <t>HRD2026_205</t>
  </si>
  <si>
    <t>SCHOOL-BASED LEARNING ACTION CELL ON CAPACITY-BUILDING OF SECONDARY TEACHERS IN SELECTING, DEVELOPING, ORGANIZING AND USING APPROPRIATE TEACHING AND LEARNING RESOURCES, INCLUDING ICT</t>
  </si>
  <si>
    <t>March 6,17, 2026</t>
  </si>
  <si>
    <r>
      <rPr>
        <b/>
        <sz val="11"/>
        <color rgb="FF000000"/>
        <rFont val="Calibri"/>
        <family val="2"/>
      </rPr>
      <t xml:space="preserve">. </t>
    </r>
    <r>
      <rPr>
        <sz val="11"/>
        <color rgb="FF000000"/>
        <rFont val="Calibri"/>
        <family val="2"/>
      </rPr>
      <t>Identify common learning gaps in selecting, developing, organizing and using appropriate teaching and learning resources, including ICT among secondary teachers based on classroom observations.                                                            . Explain evidence-based strategies and i nterventions for learning recovery secondary learnes;                                             . Demonstrate the use of differentiated and developmentally appropriate instructional approaches suited to diverse learning needs, curriculum standards, and school learning recovery goals.</t>
    </r>
  </si>
  <si>
    <t>For Release / Claimed by Sie Alvarez</t>
  </si>
  <si>
    <t>HRD2026_206</t>
  </si>
  <si>
    <t>SCHOOL LAC SESSION ON CRITICAL ISSUES IN DESIGNING EFFECTIVE ASSESSMENTS</t>
  </si>
  <si>
    <t>Feb. 12, 2026</t>
  </si>
  <si>
    <t>Grade 3-Franklin Room</t>
  </si>
  <si>
    <t>1. Identify common issues and co ncerns encountered in test construction, including alignment, clarity, and fairness of test items                                                              2. explain the basic principles of effective test construction such as validity, reliability, objectivity, and practicality                3. Analyze sample test items to determine strengths, weakness, and areas for improvement.</t>
  </si>
  <si>
    <t>HRD2026_207</t>
  </si>
  <si>
    <t>WALKTHROUGH ON THE CLASSROOM OBSERVATION TOOL FOR SENIOR HIGH SCHOOL TEACHERS FOR SY. 2025-2026</t>
  </si>
  <si>
    <t>1. Strengthen and advance teachers' instructional competencies to promote more effective, learner-centered, and outcomes-based teaching and learning practices.                                                             2. Demonstrate a deep, principled, and standards-aligned understanding of the official guidelines governing the conduct of classroom observations, ensuring fairness, consistency, and professional integrity in their implementation.                 3. Develop comprehensive familiarity with the classroom observation indicators for each quarter, enabling accurate application, reflective practice, and continuous instructional improvement.</t>
  </si>
  <si>
    <t>HRD2026_208</t>
  </si>
  <si>
    <t>LAC ICT INTEGRATION FOR SENIOR HIGH SCHOOL SY. 2025-2026</t>
  </si>
  <si>
    <t>1. Align lesson plans with digital competencies and 21st-century skills such as critical thinking, collaboration, creativity, and digital literacy.                         2. Utilize productivity and collaboration tools (e.g., learning management systems, i nteractive presentation platforms, and coud-based applications) to support blended and technology-enhanced learning environments.                                             3. Integrate multimedia resources, simulations, and real-world digital content to make abstract concepts more accessible and engaging.                                        4. Implement formative and summative digital assessment tools to provide timely feedback and monitor learner progress.                    5. Apply ethical and responsible use of technology, promoting digital citizenship among learners.</t>
  </si>
  <si>
    <t>HRD2026_209</t>
  </si>
  <si>
    <t>Training Workshop HOTS Integration in AP/ESP AND MAPEH</t>
  </si>
  <si>
    <t>a. Strengthen teachers' skills in designing and implementing HOTS-based assessment tools;                                                      b. Promote the integration of critical and creative thinking strategies in classroom instruction; and                                                      c. Support reclective practice and collaborative professional engagement among teachers.</t>
  </si>
  <si>
    <t>HRD2026_210</t>
  </si>
  <si>
    <t>Training Workshop on ICT INTEGRATION IN AP/ESP &amp; MAPEH</t>
  </si>
  <si>
    <t>1. Strengthen the Integaration of ICT in their DLL/DLP to create more engaging, interactive, and technology-enhanced lessons.                                                                 2. Develop effective teaching strategies in AP, ESP, and MAPEH that meaningful integrate ICT tools and digital resources to support student learning outcomes.</t>
  </si>
  <si>
    <t>HRD2026_211</t>
  </si>
  <si>
    <t xml:space="preserve"> CAPACITY BLDG OF TEACHERS ON PPST 7.1.2 APPLIED A PERSONAL PHILOSOPHY OF TEACHING THAT IS LEARNER-CENTERED</t>
  </si>
  <si>
    <t>1. reflect on and articulate their own personal philosophy of teaching, emphasizing learner-centered beliefs and practices.                                                              2. identify specific learner-centered strategies that promote holistic development, autonomy, critical thinking, and active engagement in the classroom.             3. analyze classroom scenarios or practices to determine how learner-centered principles are applied or can be strengthened.                                                      4. design or revise a short lesson activity or teaching approach that demonstrates application of a learner-centered philosophy.</t>
  </si>
  <si>
    <t>HRD2026_212</t>
  </si>
  <si>
    <t xml:space="preserve">GENDER-SENSITIVE DISCIPLINE: POSITIVE REINFORCEMENT TECHNIQUES, EFFECTIVE CLASSROOM MANAGEMENT AND INCLUSIVE TEACHING PRACTICES </t>
  </si>
  <si>
    <t>MAY 18-19, 2026</t>
  </si>
  <si>
    <t>Alaminos  Pangasinan</t>
  </si>
  <si>
    <t>1. Train teaching and non-teaching personnel to avoid gender bias and streotypes in disciplinary measures among learners;                                                  2. Provide teachers with tools to establish clear, consistent, and equitable classroom rules;                                                                               3. Empower teaching and non-teaching personnel to apply gender-sensitive approaches in their roles;                                   4. Encourage the use of gener-sensitive materials, examples, and activities that represent all learners and;                                5. Promote equal participation, dismantle stereotypes, and cultivate critical thinking about social roles.</t>
  </si>
  <si>
    <t>For Release / Claimed by: Sir Francis Santos / 4-13-2026</t>
  </si>
  <si>
    <t>HRD2026_213</t>
  </si>
  <si>
    <t>School Learning Action Cell on Alignment of Classroom and National Assessment</t>
  </si>
  <si>
    <t>* National Assessment at a Glance * Standardizing Success: Writing Items for Classroom Assessment  * Designing PISA- Like Item Classroom Assessment  *  Designing SEA - PLM  and ILSA Item Classroom  Assessment  and Action Planning</t>
  </si>
  <si>
    <t>HRD2026_214</t>
  </si>
  <si>
    <t>Inclusive and Safe: Strengthening our School Community for Gender Sensitivity and a Violence-Free Learning and Working Space</t>
  </si>
  <si>
    <t>Shakey's Pizza Parlor Cogeo-MarcosHighway  Golden Meadows Ave. Ant. City</t>
  </si>
  <si>
    <t>1. Displayed greater understanding and Knowledge of the scope, purpose, and legal mandate of RA 11313:  2. Deepened school teachers and staff on the responsibilities and liabilities under safe spaces Act:  3. Applied in the Classroom and workplace, a safe space for everyone, and with no form of harassment and:  4. Demonstrated camaraderie and harmonious work relations among teachers and school staff.</t>
  </si>
  <si>
    <t>HRD2026_215</t>
  </si>
  <si>
    <t>Building Awareness and Support: Parents'Role in Preventing Gender-Based Sexual Harassment ( GBSH)"</t>
  </si>
  <si>
    <t>Old Boso-Boso Learning Resource Center</t>
  </si>
  <si>
    <t>1. Equip Parents with legal Knowledge and Practical parenting tools to protect children  in both physical and digital environments. 2. Empower parents to become active partners in creating safe environments for children , both at home and in School.</t>
  </si>
  <si>
    <t>HRD2026_216</t>
  </si>
  <si>
    <t>ACTION PLAN DEVELOPMENT FOR SOCIAL - EMOTIONAL LEARNING (SEL) AMONG PROFICIENT TEACHERS' AS BEST PRACTICES FOR LEARNERS</t>
  </si>
  <si>
    <t>4th Fl. SHS ALS Room</t>
  </si>
  <si>
    <t>a. Identify key components of Social-Emotional Learning (SEL) and their impact on learner development                                    b. Enhanced best practices in structuring learning environments to foster collaborative problem-solving, directly supporting K-12 competencies in Science, Filipino and Social Sciences exploration and DepEd's emphasis on student-centered pedagogy                                            c. Develop an action plan for their classrooms, integrating strategic design elements to enhance teaching effectiveness and measurable student outcomes i n exploration activities</t>
  </si>
  <si>
    <t>For  Release</t>
  </si>
  <si>
    <t>HRD2026_217</t>
  </si>
  <si>
    <t>ENSURING EXCELLENCE: STRENGTHENING LEARNING RESOURCE QUALITY ASSURANCE</t>
  </si>
  <si>
    <t>March 4, 2-26/ March 18, 2026</t>
  </si>
  <si>
    <t>1. Identify DepEd quality assurance standards and guidelines for learning resources.                                                           2. Evaluate existing instructional materials for accuracy, alignment with curriculum standards, ad learener relevance.                     3. Collaborate with peers to reflect on best practices and share strategies for improving resource quality                                4. Apply quality assurance principles in developing or revising learning resources to ensure they inspire critical thinking and problem-solving among learners.</t>
  </si>
  <si>
    <t>For Release/ Claimed by: Mam Ladaga / 4-13-2026</t>
  </si>
  <si>
    <t>HRD2026_218</t>
  </si>
  <si>
    <t>School LAC Session on Research as a Pathway for Teacher Development and School Innovation</t>
  </si>
  <si>
    <t>March 17, 18, &amp; 19, 2026</t>
  </si>
  <si>
    <t xml:space="preserve">Day 1: How to Write Action Research Proposal / Basic Research Proposal   Day 2: Templates needed in crafting  Research Proposal andParts of completed Action Research / Basic research  / Question and answer Time a. Conduct of Action / Basic Research Presentation of output  </t>
  </si>
  <si>
    <t>For Release/ Claimed by: Mam Louella  E. Panes  / 4-7-2026</t>
  </si>
  <si>
    <t>HRD2026_219</t>
  </si>
  <si>
    <t>Canumay NHS</t>
  </si>
  <si>
    <t>E-TAWID DUNONG: STRENGTHENING ELECTRONIC TEACHING ALTERNATIVES THROUGH INDEPENDENT LEARNING DESIGN</t>
  </si>
  <si>
    <t>Feb. 26, 2026</t>
  </si>
  <si>
    <t>Canmunay NHS</t>
  </si>
  <si>
    <t>1. Explain the goals, features, and importance of E-Tawid Dunong in ensuring continuous and and equitable education                                                         2. Identify learning gaps and clallenges that may arise during class disruptions or alternative learning setups                               3. Explore appropriate learning materials tools in E-Dunong repository                           4. Develop at least onecontextualized and quality-assured instructional material such as presentations, learning activity sheets, instructional videos, or interactive resources                                                            5. Apply Independent Learning Design principles to encourage autonomy, critical thinking, and self-directed learning              6. Collaborate with peers through LAC sessions to improve instructional strategies and strengthen innovative teaching practices.</t>
  </si>
  <si>
    <t>HRD2026_220</t>
  </si>
  <si>
    <t xml:space="preserve">"Strengthening Assessment Design and Implementation in TVL / TECHPRO Instruction </t>
  </si>
  <si>
    <t>Strengthening Assessment Design and Implementation in TVL / TECHPRO Instruction.</t>
  </si>
  <si>
    <t>For Release Claimedby: Mam Ladaga / 4-13-2026</t>
  </si>
  <si>
    <t>HRD2026_221</t>
  </si>
  <si>
    <t>6th GAWAD PANTAS: ANTIPOLO NHS NATATANGING KAWANI 2025 School Search for Most Outstanding Teaching and Non-Teaching Personnel cum State of the School Address (SOSA)</t>
  </si>
  <si>
    <t>St. Michael Retreat House</t>
  </si>
  <si>
    <t>a. Foster a culture of excellence and motivation among ANHS personnel;            b. Promote professional growth by setting performance benchmarks for teaching and non-teaching staff;                                      c. Encourage innovation, dedication, and committment to quality service delivery in the school; and                                                   d. Enhance employee engagement and morale of ANHS teaching and non-teaching personnel who provide quality education and service despite limitiations and economic challenges.</t>
  </si>
  <si>
    <t>HRD2026_222</t>
  </si>
  <si>
    <t>Effective Classroom Management and Differentiated, Developmentally Appropriate Learning Opportunities for Learners</t>
  </si>
  <si>
    <t>ISTES</t>
  </si>
  <si>
    <t>Session : Effective Classroom Management   / Differentiated, Developmentally Appropriate Learning Opportunities for Learners</t>
  </si>
  <si>
    <t>HRD2026_223</t>
  </si>
  <si>
    <t>Mambugan NHS</t>
  </si>
  <si>
    <t>SLAC : Session Proposal on Collaborative Literacy Intervention Strategies in Teaching Key Stage 3 English</t>
  </si>
  <si>
    <t>March 17, 026</t>
  </si>
  <si>
    <t>Conference room</t>
  </si>
  <si>
    <r>
      <rPr>
        <sz val="11"/>
        <color rgb="FF000000"/>
        <rFont val="Calibri"/>
        <family val="2"/>
      </rPr>
      <t>Collaborative strategies, students-centered approaches, scaffolding, and addressing miconceptions / Group Discussion/ Q&amp;A : Department members discuss how to apply the strategies in their classrooms / Hands-on Activity/ Workshop: Create sample lesson plans or activities using seminar strategies  / Reflection and commitment :</t>
    </r>
    <r>
      <rPr>
        <b/>
        <sz val="11"/>
        <color rgb="FF000000"/>
        <rFont val="Calibri"/>
        <family val="2"/>
      </rPr>
      <t xml:space="preserve"> </t>
    </r>
    <r>
      <rPr>
        <sz val="11"/>
        <color rgb="FF000000"/>
        <rFont val="Calibri"/>
        <family val="2"/>
      </rPr>
      <t>Participants</t>
    </r>
    <r>
      <rPr>
        <b/>
        <sz val="11"/>
        <color rgb="FF000000"/>
        <rFont val="Calibri"/>
        <family val="2"/>
      </rPr>
      <t xml:space="preserve"> </t>
    </r>
    <r>
      <rPr>
        <sz val="11"/>
        <color rgb="FF000000"/>
        <rFont val="Calibri"/>
        <family val="2"/>
      </rPr>
      <t>submit notes, reflections, and classroom application commitments  Summary of Key takeaways  and nrxt steps</t>
    </r>
  </si>
  <si>
    <t>For Release/ Claimed by: Sir Emerson Romero</t>
  </si>
  <si>
    <t>HRD2026_224</t>
  </si>
  <si>
    <t>3-Day LAC Session on Curriculum Contextualization, Localization, and Indigenization, and Preparation of Contextualized Learning Resources in Reading and Mathematics</t>
  </si>
  <si>
    <t>March 11-13, 2026</t>
  </si>
  <si>
    <t>LRC/ Library room</t>
  </si>
  <si>
    <t>Topic 1: Preparation and Utilization of Contextualized English Reading Materials /Preparation and Utilization of Contextualized Filipino Reading Materias  Topic 2: Break away Session: Material Development Per Grade Level * Reading Materials English and Filipino * Instructional Materials for Intervention in Mathematics  /  Validation and Quality Assurance of Materials</t>
  </si>
  <si>
    <t xml:space="preserve">For Release </t>
  </si>
  <si>
    <t>HRD2026_225</t>
  </si>
  <si>
    <t>Project S.C.I.E.N.C.E  Sharpening and coaching to improve and evaluate Progress to narrows Gaps, Connect and evaluate over all MPS</t>
  </si>
  <si>
    <t>March 18-20, 2026</t>
  </si>
  <si>
    <r>
      <rPr>
        <sz val="11"/>
        <color rgb="FF000000"/>
        <rFont val="Calibri"/>
        <family val="2"/>
      </rPr>
      <t>S</t>
    </r>
    <r>
      <rPr>
        <b/>
        <sz val="11"/>
        <color rgb="FF000000"/>
        <rFont val="Calibri"/>
        <family val="2"/>
      </rPr>
      <t>ession 1</t>
    </r>
    <r>
      <rPr>
        <sz val="11"/>
        <color rgb="FF000000"/>
        <rFont val="Calibri"/>
        <family val="2"/>
      </rPr>
      <t xml:space="preserve">: Walkthrough of the Science Curriculum Guide  /  Classroom Process and indicators ( Sharing and Bench marking)  </t>
    </r>
    <r>
      <rPr>
        <b/>
        <sz val="11"/>
        <color rgb="FF000000"/>
        <rFont val="Calibri"/>
        <family val="2"/>
      </rPr>
      <t>Session 2:</t>
    </r>
    <r>
      <rPr>
        <sz val="11"/>
        <color rgb="FF000000"/>
        <rFont val="Calibri"/>
        <family val="2"/>
      </rPr>
      <t xml:space="preserve"> Integrating HOTS- Building Quality assessment</t>
    </r>
    <r>
      <rPr>
        <b/>
        <sz val="11"/>
        <color rgb="FF000000"/>
        <rFont val="Calibri"/>
        <family val="2"/>
      </rPr>
      <t xml:space="preserve"> Day 3 : </t>
    </r>
    <r>
      <rPr>
        <sz val="11"/>
        <color rgb="FF000000"/>
        <rFont val="Calibri"/>
        <family val="2"/>
      </rPr>
      <t>Empowering</t>
    </r>
    <r>
      <rPr>
        <b/>
        <sz val="11"/>
        <color rgb="FF000000"/>
        <rFont val="Calibri"/>
        <family val="2"/>
      </rPr>
      <t xml:space="preserve"> </t>
    </r>
    <r>
      <rPr>
        <sz val="11"/>
        <color rgb="FF000000"/>
        <rFont val="Calibri"/>
        <family val="2"/>
      </rPr>
      <t xml:space="preserve">  Science Teachers : Closing the performance Gap / Competency to cLassroom parctice </t>
    </r>
  </si>
  <si>
    <t xml:space="preserve">For Released </t>
  </si>
  <si>
    <t>HRD2026_226</t>
  </si>
  <si>
    <t>Training Design Proposal on the conduct of School learning Action Cell for Teachers of DLC 11-G Canumay NHS</t>
  </si>
  <si>
    <t>FEb. 24, 2026</t>
  </si>
  <si>
    <t>CNHS SGC Room</t>
  </si>
  <si>
    <t xml:space="preserve">Integration of Higher Order Thinking Skills in Lesson Planning HOTS </t>
  </si>
  <si>
    <t>HRD2026_227</t>
  </si>
  <si>
    <t>From Assessment to Action: Strengthening Differentiated Instructions and Intervention Practices in Mathematics and Science</t>
  </si>
  <si>
    <t>March 12, 17, 2026</t>
  </si>
  <si>
    <t>MNHS Conference Room</t>
  </si>
  <si>
    <r>
      <rPr>
        <b/>
        <sz val="11"/>
        <color rgb="FF000000"/>
        <rFont val="Calibri"/>
        <family val="2"/>
      </rPr>
      <t>Session  1</t>
    </r>
    <r>
      <rPr>
        <sz val="11"/>
        <color rgb="FF000000"/>
        <rFont val="Calibri"/>
        <family val="2"/>
      </rPr>
      <t>: Differentiated Instruction  S</t>
    </r>
    <r>
      <rPr>
        <b/>
        <sz val="11"/>
        <color rgb="FF000000"/>
        <rFont val="Calibri"/>
        <family val="2"/>
      </rPr>
      <t>ession 2</t>
    </r>
    <r>
      <rPr>
        <sz val="11"/>
        <color rgb="FF000000"/>
        <rFont val="Calibri"/>
        <family val="2"/>
      </rPr>
      <t>: Intervention Program</t>
    </r>
  </si>
  <si>
    <t>HRD2026_228</t>
  </si>
  <si>
    <t xml:space="preserve">Building Critical Readers: Integrating LOTS and Hots in  Grade 6 Literacy </t>
  </si>
  <si>
    <t>March 23-25, 2026</t>
  </si>
  <si>
    <r>
      <rPr>
        <sz val="11"/>
        <color rgb="FF000000"/>
        <rFont val="Calibri"/>
        <family val="2"/>
      </rPr>
      <t>* Definitaion and examples of LOTS and HOTS * Importance in Grade 6 literacy instruction * Sample reading activitiesand questions *Challenges in reading comprehension * Strategies to increase engagement* Promoting critical and creative thinking /</t>
    </r>
    <r>
      <rPr>
        <b/>
        <sz val="11"/>
        <color rgb="FF000000"/>
        <rFont val="Calibri"/>
        <family val="2"/>
      </rPr>
      <t xml:space="preserve"> Workshop Activity * </t>
    </r>
    <r>
      <rPr>
        <sz val="11"/>
        <color rgb="FF000000"/>
        <rFont val="Calibri"/>
        <family val="2"/>
      </rPr>
      <t>Creative LOTS and HOTS reading questions * Design Literacy activities for analysis, evaluation and creativity * Groups present outputs * Feedback from facilitator</t>
    </r>
  </si>
  <si>
    <t>HRD2026_229</t>
  </si>
  <si>
    <t>GAD Capacity-Building Seminar on Inclusive Education "Bridging Cultural Gaps and Gender Divides in the modern Classroom</t>
  </si>
  <si>
    <t>May 7-8, 2026</t>
  </si>
  <si>
    <t xml:space="preserve">at Bakasyunan Resort and Conference Center, Tanay Rizal </t>
  </si>
  <si>
    <t>session 1: Teaching approaches to support varied learners session 2: Empowering Educators asGender- Responsive Advocates for Inclusive Education  Session 3: Upskiliing &amp; Re-Orientation of DepEd Order No. 32 s 2017</t>
  </si>
  <si>
    <t>For Release / Claimed by Sir Emerson Romero</t>
  </si>
  <si>
    <t>HRD2026_230</t>
  </si>
  <si>
    <t xml:space="preserve">Empowered safe Spaces: Promoting Gender Responsive Digital Responsibility among Teachers </t>
  </si>
  <si>
    <t>May 8-9, 2026</t>
  </si>
  <si>
    <t>Woodside Farm and water Park Canlubang Laguna</t>
  </si>
  <si>
    <t>Session 1/ Topic 1: Promoting Digital Responsibility Session 2: Online Risk and Gender Based online Harassment</t>
  </si>
  <si>
    <t>HRD2026_231</t>
  </si>
  <si>
    <t>Promoting Equal Treatment Before the Law: Integrating Gender Sensitivity in Learning and Development Programs</t>
  </si>
  <si>
    <t>May 14-15, 2026</t>
  </si>
  <si>
    <t>Momarco Resort Brgy. Plaza Aldea Tanay Rizal</t>
  </si>
  <si>
    <r>
      <rPr>
        <b/>
        <sz val="11"/>
        <color rgb="FF000000"/>
        <rFont val="Calibri"/>
        <family val="2"/>
      </rPr>
      <t xml:space="preserve">Topic 1: </t>
    </r>
    <r>
      <rPr>
        <sz val="11"/>
        <color rgb="FF000000"/>
        <rFont val="Calibri"/>
        <family val="2"/>
      </rPr>
      <t xml:space="preserve">Reorientation of DepEd order 32 s. 2017  </t>
    </r>
    <r>
      <rPr>
        <b/>
        <sz val="11"/>
        <color rgb="FF000000"/>
        <rFont val="Calibri"/>
        <family val="2"/>
      </rPr>
      <t>Topic 2:</t>
    </r>
    <r>
      <rPr>
        <sz val="11"/>
        <color rgb="FF000000"/>
        <rFont val="Calibri"/>
        <family val="2"/>
      </rPr>
      <t xml:space="preserve"> Sensitivity and Equality in the Workplace  </t>
    </r>
    <r>
      <rPr>
        <b/>
        <sz val="11"/>
        <color rgb="FF000000"/>
        <rFont val="Calibri"/>
        <family val="2"/>
      </rPr>
      <t>Topic 3</t>
    </r>
    <r>
      <rPr>
        <sz val="11"/>
        <color rgb="FF000000"/>
        <rFont val="Calibri"/>
        <family val="2"/>
      </rPr>
      <t xml:space="preserve">: Gender Diversity and Inclusivity   </t>
    </r>
    <r>
      <rPr>
        <b/>
        <sz val="11"/>
        <color rgb="FF000000"/>
        <rFont val="Calibri"/>
        <family val="2"/>
      </rPr>
      <t>Topic 4</t>
    </r>
    <r>
      <rPr>
        <sz val="11"/>
        <color rgb="FF000000"/>
        <rFont val="Calibri"/>
        <family val="2"/>
      </rPr>
      <t>; Inclusion of LGBTQ + Learners in Education / Management Learning</t>
    </r>
    <r>
      <rPr>
        <b/>
        <sz val="11"/>
        <color rgb="FF000000"/>
        <rFont val="Calibri"/>
        <family val="2"/>
      </rPr>
      <t xml:space="preserve">  Topic 5</t>
    </r>
    <r>
      <rPr>
        <sz val="11"/>
        <color rgb="FF000000"/>
        <rFont val="Calibri"/>
        <family val="2"/>
      </rPr>
      <t xml:space="preserve">: Gender Sensitivity and Awareness Training for Teachers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</si>
</sst>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theme="1"/>
      <name val="Calibri "/>
    </font>
    <font>
      <sz val="9"/>
      <color rgb="FF000000"/>
      <name val="Calibri"/>
      <family val="2"/>
    </font>
    <font>
      <sz val="11"/>
      <color rgb="FF000000"/>
      <name val="Calibri"/>
      <family val="2"/>
    </font>
    <font>
      <sz val="9"/>
      <color theme="1"/>
      <name val="Calibri "/>
    </font>
    <font>
      <sz val="8"/>
      <color rgb="FF000000"/>
      <name val="Calibri"/>
      <family val="2"/>
    </font>
    <font>
      <b/>
      <sz val="9"/>
      <color rgb="FF000000"/>
      <name val="Calibri"/>
      <family val="2"/>
    </font>
    <font>
      <sz val="8"/>
      <color theme="1"/>
      <name val="Calibri "/>
    </font>
    <font>
      <b/>
      <sz val="11"/>
      <color rgb="FF000000"/>
      <name val="Calibri"/>
      <family val="2"/>
    </font>
    <font>
      <sz val="10"/>
      <color theme="1"/>
      <name val="Calibri "/>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6">
    <border>
      <left/>
      <right/>
      <top/>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ashed">
        <color indexed="64"/>
      </left>
      <right style="dashed">
        <color indexed="64"/>
      </right>
      <top style="dashed">
        <color indexed="64"/>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xf>
    <xf numFmtId="15" fontId="2" fillId="0" borderId="2" xfId="0" applyNumberFormat="1" applyFont="1" applyBorder="1" applyAlignment="1">
      <alignment horizontal="center" vertical="center"/>
    </xf>
    <xf numFmtId="2" fontId="3" fillId="0" borderId="2" xfId="0" applyNumberFormat="1" applyFont="1" applyBorder="1" applyAlignment="1">
      <alignment horizontal="center" vertical="center"/>
    </xf>
    <xf numFmtId="14" fontId="1" fillId="0" borderId="4" xfId="0" applyNumberFormat="1" applyFont="1" applyBorder="1" applyAlignment="1">
      <alignment horizontal="center" vertical="center"/>
    </xf>
    <xf numFmtId="14" fontId="4"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vertical="center"/>
    </xf>
    <xf numFmtId="0" fontId="2" fillId="0" borderId="2" xfId="0" applyFont="1" applyBorder="1" applyAlignment="1"/>
    <xf numFmtId="0" fontId="4" fillId="0" borderId="1" xfId="0" applyFont="1" applyBorder="1" applyAlignment="1">
      <alignment horizontal="center"/>
    </xf>
    <xf numFmtId="0" fontId="2" fillId="0" borderId="2" xfId="0" applyFont="1" applyBorder="1" applyAlignment="1">
      <alignment horizontal="left" vertical="center"/>
    </xf>
    <xf numFmtId="2" fontId="1" fillId="0" borderId="1" xfId="0" applyNumberFormat="1" applyFont="1" applyBorder="1" applyAlignment="1">
      <alignment horizontal="center" vertical="center"/>
    </xf>
    <xf numFmtId="0" fontId="2" fillId="0" borderId="2" xfId="0" applyFont="1" applyBorder="1" applyAlignment="1">
      <alignment horizontal="left"/>
    </xf>
    <xf numFmtId="0" fontId="5" fillId="0" borderId="2" xfId="0" applyFont="1" applyBorder="1" applyAlignment="1">
      <alignment horizontal="center" vertical="center"/>
    </xf>
    <xf numFmtId="0" fontId="1" fillId="0" borderId="1" xfId="0" applyFont="1" applyBorder="1" applyAlignment="1">
      <alignment horizontal="center"/>
    </xf>
    <xf numFmtId="1" fontId="1" fillId="0" borderId="1" xfId="0" applyNumberFormat="1" applyFont="1" applyBorder="1" applyAlignment="1">
      <alignment horizontal="center"/>
    </xf>
    <xf numFmtId="0" fontId="2" fillId="0" borderId="3" xfId="0" applyFont="1" applyBorder="1" applyAlignment="1">
      <alignment horizontal="center" vertical="center"/>
    </xf>
    <xf numFmtId="0" fontId="1" fillId="0" borderId="1" xfId="0" applyFont="1" applyBorder="1" applyAlignment="1"/>
    <xf numFmtId="0" fontId="2" fillId="2" borderId="2" xfId="0" applyFont="1" applyFill="1" applyBorder="1" applyAlignment="1">
      <alignment horizontal="center" vertical="center"/>
    </xf>
    <xf numFmtId="0" fontId="3" fillId="0" borderId="1" xfId="0" applyFont="1" applyBorder="1" applyAlignment="1">
      <alignment vertical="center"/>
    </xf>
    <xf numFmtId="0" fontId="3" fillId="0" borderId="0" xfId="0" applyFont="1" applyAlignment="1">
      <alignment horizontal="center" vertical="center"/>
    </xf>
    <xf numFmtId="0" fontId="4" fillId="0" borderId="1" xfId="0" applyFont="1" applyBorder="1" applyAlignment="1">
      <alignment vertical="center"/>
    </xf>
    <xf numFmtId="0" fontId="4" fillId="0" borderId="1" xfId="0" applyFont="1" applyBorder="1" applyAlignment="1"/>
    <xf numFmtId="0" fontId="2" fillId="3" borderId="2" xfId="0" applyFont="1" applyFill="1" applyBorder="1" applyAlignment="1">
      <alignment horizontal="center" vertical="center"/>
    </xf>
    <xf numFmtId="0" fontId="2" fillId="3" borderId="2" xfId="0" applyFont="1" applyFill="1" applyBorder="1" applyAlignment="1"/>
    <xf numFmtId="0" fontId="4"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xf numFmtId="15" fontId="2" fillId="0" borderId="2" xfId="0" applyNumberFormat="1" applyFont="1" applyBorder="1" applyAlignment="1"/>
    <xf numFmtId="0" fontId="2" fillId="0" borderId="2" xfId="0" applyFont="1" applyBorder="1" applyAlignment="1">
      <alignment horizontal="center"/>
    </xf>
    <xf numFmtId="0" fontId="2" fillId="0" borderId="3" xfId="0" applyFont="1" applyBorder="1" applyAlignment="1"/>
    <xf numFmtId="0" fontId="7" fillId="0" borderId="1" xfId="0" applyFont="1" applyBorder="1" applyAlignment="1"/>
    <xf numFmtId="0" fontId="5" fillId="0" borderId="2" xfId="0" applyFont="1" applyBorder="1" applyAlignment="1"/>
    <xf numFmtId="0" fontId="2" fillId="0" borderId="5" xfId="0" applyFont="1" applyBorder="1" applyAlignment="1">
      <alignment horizontal="center" vertical="center"/>
    </xf>
    <xf numFmtId="0" fontId="3" fillId="0" borderId="2" xfId="0" applyFont="1" applyBorder="1" applyAlignment="1"/>
    <xf numFmtId="0" fontId="1" fillId="0" borderId="1" xfId="0" applyFont="1" applyBorder="1" applyAlignment="1">
      <alignment vertical="center"/>
    </xf>
    <xf numFmtId="15" fontId="1"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xf>
    <xf numFmtId="15" fontId="1" fillId="0" borderId="1" xfId="0" applyNumberFormat="1" applyFont="1" applyBorder="1" applyAlignment="1">
      <alignment vertical="center"/>
    </xf>
    <xf numFmtId="0" fontId="3" fillId="0" borderId="1" xfId="0" applyFont="1" applyBorder="1" applyAlignment="1"/>
    <xf numFmtId="17" fontId="1" fillId="0" borderId="1" xfId="0" applyNumberFormat="1" applyFont="1" applyBorder="1" applyAlignment="1">
      <alignment vertical="center"/>
    </xf>
    <xf numFmtId="0" fontId="9" fillId="0" borderId="1" xfId="0" applyFont="1" applyBorder="1" applyAlignment="1">
      <alignment horizontal="center" vertical="center"/>
    </xf>
    <xf numFmtId="0" fontId="1" fillId="0" borderId="1" xfId="0" applyFont="1" applyBorder="1" applyAlignment="1">
      <alignment horizontal="righ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enz\Downloads\Project-TRACED%20(Final).xlsx" TargetMode="External"/><Relationship Id="rId1" Type="http://schemas.openxmlformats.org/officeDocument/2006/relationships/externalLinkPath" Target="Project-TRACED%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GOD"/>
      <sheetName val="CES"/>
      <sheetName val="EPS"/>
      <sheetName val="SMME"/>
      <sheetName val="PR"/>
      <sheetName val="HRD"/>
      <sheetName val="YF"/>
      <sheetName val="SMN"/>
      <sheetName val="SHN"/>
      <sheetName val="DRRM"/>
      <sheetName val="EF"/>
      <sheetName val="Holidays"/>
    </sheetNames>
    <sheetDataSet>
      <sheetData sheetId="0"/>
      <sheetData sheetId="1"/>
      <sheetData sheetId="2"/>
      <sheetData sheetId="3"/>
      <sheetData sheetId="4"/>
      <sheetData sheetId="5"/>
      <sheetData sheetId="6"/>
      <sheetData sheetId="7"/>
      <sheetData sheetId="8"/>
      <sheetData sheetId="9"/>
      <sheetData sheetId="10"/>
      <sheetData sheetId="11">
        <row r="2">
          <cell r="B2">
            <v>46023</v>
          </cell>
        </row>
        <row r="3">
          <cell r="B3">
            <v>46114</v>
          </cell>
        </row>
        <row r="4">
          <cell r="B4">
            <v>46115</v>
          </cell>
        </row>
        <row r="5">
          <cell r="B5">
            <v>46121</v>
          </cell>
        </row>
        <row r="6">
          <cell r="B6">
            <v>46143</v>
          </cell>
        </row>
        <row r="7">
          <cell r="B7">
            <v>46184</v>
          </cell>
        </row>
        <row r="8">
          <cell r="B8">
            <v>46185</v>
          </cell>
        </row>
        <row r="9">
          <cell r="B9">
            <v>46255</v>
          </cell>
        </row>
        <row r="10">
          <cell r="B10">
            <v>46265</v>
          </cell>
        </row>
        <row r="11">
          <cell r="B11">
            <v>46356</v>
          </cell>
        </row>
        <row r="12">
          <cell r="B12">
            <v>46381</v>
          </cell>
        </row>
        <row r="13">
          <cell r="B13">
            <v>46386</v>
          </cell>
        </row>
        <row r="14">
          <cell r="B14">
            <v>46327</v>
          </cell>
        </row>
        <row r="15">
          <cell r="B15">
            <v>46364</v>
          </cell>
        </row>
        <row r="16">
          <cell r="B16">
            <v>46387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4768-3EC5-4D03-92C8-0CC557116F37}">
  <dimension ref="A1:P238"/>
  <sheetViews>
    <sheetView tabSelected="1" workbookViewId="0">
      <selection activeCell="P4" sqref="P4"/>
    </sheetView>
  </sheetViews>
  <sheetFormatPr defaultRowHeight="15"/>
  <cols>
    <col min="1" max="1" width="14.85546875" bestFit="1" customWidth="1"/>
    <col min="12" max="12" width="11.28515625" bestFit="1" customWidth="1"/>
    <col min="14" max="14" width="11.28515625" bestFit="1" customWidth="1"/>
    <col min="15" max="15" width="6.7109375" bestFit="1" customWidth="1"/>
  </cols>
  <sheetData>
    <row r="1" spans="1:16">
      <c r="A1" s="1" t="s">
        <v>0</v>
      </c>
      <c r="B1" s="1" t="s">
        <v>1</v>
      </c>
      <c r="C1" s="1" t="s">
        <v>2</v>
      </c>
      <c r="D1" s="4" t="s">
        <v>3</v>
      </c>
      <c r="E1" s="5">
        <v>46031</v>
      </c>
      <c r="F1" s="4" t="s">
        <v>4</v>
      </c>
      <c r="G1" s="1">
        <v>2</v>
      </c>
      <c r="H1" s="1">
        <v>7</v>
      </c>
      <c r="I1" s="9">
        <f>SUM(G1:H1)</f>
        <v>9</v>
      </c>
      <c r="J1" s="10">
        <v>3.64</v>
      </c>
      <c r="K1" s="11" t="s">
        <v>5</v>
      </c>
      <c r="L1" s="2">
        <v>46028</v>
      </c>
      <c r="M1" s="1" t="s">
        <v>6</v>
      </c>
      <c r="N1" s="2">
        <v>46030</v>
      </c>
      <c r="O1" s="3">
        <f>NETWORKDAYS(L1,N1,[1]Holidays!$B$2:$B$16)</f>
        <v>3</v>
      </c>
      <c r="P1" s="1" t="s">
        <v>7</v>
      </c>
    </row>
    <row r="2" spans="1:16">
      <c r="A2" s="1" t="s">
        <v>8</v>
      </c>
      <c r="B2" s="1" t="s">
        <v>1</v>
      </c>
      <c r="C2" s="1" t="s">
        <v>9</v>
      </c>
      <c r="D2" s="4" t="s">
        <v>10</v>
      </c>
      <c r="E2" s="5">
        <v>46031</v>
      </c>
      <c r="F2" s="4" t="s">
        <v>11</v>
      </c>
      <c r="G2" s="1">
        <v>18</v>
      </c>
      <c r="H2" s="1">
        <v>26</v>
      </c>
      <c r="I2" s="9">
        <f t="shared" ref="I2:I25" si="0">SUM(G2:H2)</f>
        <v>44</v>
      </c>
      <c r="J2" s="4">
        <v>3.27</v>
      </c>
      <c r="K2" s="12" t="s">
        <v>12</v>
      </c>
      <c r="L2" s="2">
        <v>46029</v>
      </c>
      <c r="M2" s="1" t="s">
        <v>6</v>
      </c>
      <c r="N2" s="2">
        <v>46030</v>
      </c>
      <c r="O2" s="3">
        <f>NETWORKDAYS(L2,N2,[1]Holidays!$B$2:$B$16)</f>
        <v>2</v>
      </c>
      <c r="P2" s="1" t="s">
        <v>7</v>
      </c>
    </row>
    <row r="3" spans="1:16">
      <c r="A3" s="1" t="s">
        <v>13</v>
      </c>
      <c r="B3" s="1" t="s">
        <v>1</v>
      </c>
      <c r="C3" s="1" t="s">
        <v>14</v>
      </c>
      <c r="D3" s="4" t="s">
        <v>15</v>
      </c>
      <c r="E3" s="4" t="s">
        <v>16</v>
      </c>
      <c r="F3" s="4" t="s">
        <v>17</v>
      </c>
      <c r="G3" s="1">
        <v>0</v>
      </c>
      <c r="H3" s="1">
        <v>7</v>
      </c>
      <c r="I3" s="9">
        <f t="shared" si="0"/>
        <v>7</v>
      </c>
      <c r="J3" s="1">
        <v>3.54</v>
      </c>
      <c r="K3" s="13" t="s">
        <v>18</v>
      </c>
      <c r="L3" s="2">
        <v>46036</v>
      </c>
      <c r="M3" s="1" t="s">
        <v>6</v>
      </c>
      <c r="N3" s="2">
        <v>46038</v>
      </c>
      <c r="O3" s="3">
        <f>NETWORKDAYS(L3,N3,[1]Holidays!$B$2:$B$16)</f>
        <v>3</v>
      </c>
      <c r="P3" s="1" t="s">
        <v>19</v>
      </c>
    </row>
    <row r="4" spans="1:16">
      <c r="A4" s="1" t="s">
        <v>20</v>
      </c>
      <c r="B4" s="1" t="s">
        <v>1</v>
      </c>
      <c r="C4" s="1" t="s">
        <v>21</v>
      </c>
      <c r="D4" s="4" t="s">
        <v>22</v>
      </c>
      <c r="E4" s="5">
        <v>46050</v>
      </c>
      <c r="F4" s="4" t="s">
        <v>23</v>
      </c>
      <c r="G4" s="1">
        <v>0</v>
      </c>
      <c r="H4" s="1">
        <v>14</v>
      </c>
      <c r="I4" s="9">
        <f t="shared" si="0"/>
        <v>14</v>
      </c>
      <c r="J4" s="10">
        <v>3.64</v>
      </c>
      <c r="K4" s="14" t="s">
        <v>24</v>
      </c>
      <c r="L4" s="2">
        <v>46030</v>
      </c>
      <c r="M4" s="1" t="s">
        <v>6</v>
      </c>
      <c r="N4" s="2">
        <v>46036</v>
      </c>
      <c r="O4" s="3">
        <f>NETWORKDAYS(L4,N4,[1]Holidays!$B$2:$B$16)</f>
        <v>5</v>
      </c>
      <c r="P4" s="1" t="s">
        <v>7</v>
      </c>
    </row>
    <row r="5" spans="1:16">
      <c r="A5" s="1" t="s">
        <v>25</v>
      </c>
      <c r="B5" s="1" t="s">
        <v>1</v>
      </c>
      <c r="C5" s="1" t="s">
        <v>21</v>
      </c>
      <c r="D5" s="4" t="s">
        <v>26</v>
      </c>
      <c r="E5" s="4" t="s">
        <v>27</v>
      </c>
      <c r="F5" s="4" t="s">
        <v>28</v>
      </c>
      <c r="G5" s="1">
        <v>0</v>
      </c>
      <c r="H5" s="1">
        <v>14</v>
      </c>
      <c r="I5" s="9">
        <f t="shared" si="0"/>
        <v>14</v>
      </c>
      <c r="J5" s="1">
        <v>3.64</v>
      </c>
      <c r="K5" s="14" t="s">
        <v>29</v>
      </c>
      <c r="L5" s="2">
        <v>46030</v>
      </c>
      <c r="M5" s="1" t="s">
        <v>6</v>
      </c>
      <c r="N5" s="2">
        <v>46036</v>
      </c>
      <c r="O5" s="3">
        <f>NETWORKDAYS(L5,N5,[1]Holidays!$B$2:$B$16)</f>
        <v>5</v>
      </c>
      <c r="P5" s="1" t="s">
        <v>30</v>
      </c>
    </row>
    <row r="6" spans="1:16">
      <c r="A6" s="1" t="s">
        <v>31</v>
      </c>
      <c r="B6" s="1" t="s">
        <v>1</v>
      </c>
      <c r="C6" s="1" t="s">
        <v>21</v>
      </c>
      <c r="D6" s="4" t="s">
        <v>32</v>
      </c>
      <c r="E6" s="5">
        <v>46051</v>
      </c>
      <c r="F6" s="4" t="s">
        <v>23</v>
      </c>
      <c r="G6" s="1">
        <v>0</v>
      </c>
      <c r="H6" s="1">
        <v>14</v>
      </c>
      <c r="I6" s="9">
        <f t="shared" si="0"/>
        <v>14</v>
      </c>
      <c r="J6" s="1">
        <v>3.64</v>
      </c>
      <c r="K6" s="14" t="s">
        <v>33</v>
      </c>
      <c r="L6" s="2">
        <v>46030</v>
      </c>
      <c r="M6" s="1" t="s">
        <v>6</v>
      </c>
      <c r="N6" s="2">
        <v>46036</v>
      </c>
      <c r="O6" s="3">
        <f>NETWORKDAYS(L6,N6,[1]Holidays!$B$2:$B$16)</f>
        <v>5</v>
      </c>
      <c r="P6" s="1" t="s">
        <v>34</v>
      </c>
    </row>
    <row r="7" spans="1:16">
      <c r="A7" s="1" t="s">
        <v>35</v>
      </c>
      <c r="B7" s="1" t="s">
        <v>1</v>
      </c>
      <c r="C7" s="1" t="s">
        <v>21</v>
      </c>
      <c r="D7" s="4" t="s">
        <v>36</v>
      </c>
      <c r="E7" s="4" t="s">
        <v>37</v>
      </c>
      <c r="F7" s="4" t="s">
        <v>23</v>
      </c>
      <c r="G7" s="1">
        <v>0</v>
      </c>
      <c r="H7" s="1">
        <v>14</v>
      </c>
      <c r="I7" s="9">
        <f t="shared" si="0"/>
        <v>14</v>
      </c>
      <c r="J7" s="1">
        <v>3.64</v>
      </c>
      <c r="K7" s="12" t="s">
        <v>38</v>
      </c>
      <c r="L7" s="2">
        <v>46030</v>
      </c>
      <c r="M7" s="1" t="s">
        <v>6</v>
      </c>
      <c r="N7" s="2">
        <v>46036</v>
      </c>
      <c r="O7" s="3">
        <f>NETWORKDAYS(L7,N7,[1]Holidays!$B$2:$B$16)</f>
        <v>5</v>
      </c>
      <c r="P7" s="1" t="s">
        <v>30</v>
      </c>
    </row>
    <row r="8" spans="1:16">
      <c r="A8" s="1" t="s">
        <v>39</v>
      </c>
      <c r="B8" s="1" t="s">
        <v>1</v>
      </c>
      <c r="C8" s="1" t="s">
        <v>40</v>
      </c>
      <c r="D8" s="4" t="s">
        <v>41</v>
      </c>
      <c r="E8" s="5">
        <v>46037</v>
      </c>
      <c r="F8" s="4" t="s">
        <v>42</v>
      </c>
      <c r="G8" s="1">
        <v>0</v>
      </c>
      <c r="H8" s="1">
        <v>9</v>
      </c>
      <c r="I8" s="9">
        <f t="shared" si="0"/>
        <v>9</v>
      </c>
      <c r="J8" s="1">
        <v>3.36</v>
      </c>
      <c r="K8" s="12" t="s">
        <v>43</v>
      </c>
      <c r="L8" s="2">
        <v>46031</v>
      </c>
      <c r="M8" s="1" t="s">
        <v>6</v>
      </c>
      <c r="N8" s="2">
        <v>46036</v>
      </c>
      <c r="O8" s="3">
        <f>NETWORKDAYS(L8,N8,[1]Holidays!$B$2:$B$16)</f>
        <v>4</v>
      </c>
      <c r="P8" s="1" t="s">
        <v>7</v>
      </c>
    </row>
    <row r="9" spans="1:16">
      <c r="A9" s="1" t="s">
        <v>44</v>
      </c>
      <c r="B9" s="1" t="s">
        <v>1</v>
      </c>
      <c r="C9" s="1" t="s">
        <v>40</v>
      </c>
      <c r="D9" s="4" t="s">
        <v>45</v>
      </c>
      <c r="E9" s="5">
        <v>46037</v>
      </c>
      <c r="F9" s="4" t="s">
        <v>46</v>
      </c>
      <c r="G9" s="1">
        <v>2</v>
      </c>
      <c r="H9" s="1">
        <v>7</v>
      </c>
      <c r="I9" s="9">
        <f t="shared" si="0"/>
        <v>9</v>
      </c>
      <c r="J9" s="10">
        <v>3.45</v>
      </c>
      <c r="K9" s="12" t="s">
        <v>47</v>
      </c>
      <c r="L9" s="2">
        <v>46031</v>
      </c>
      <c r="M9" s="1" t="s">
        <v>6</v>
      </c>
      <c r="N9" s="2">
        <v>46036</v>
      </c>
      <c r="O9" s="3">
        <f>NETWORKDAYS(L9,N9,[1]Holidays!$B$2:$B$16)</f>
        <v>4</v>
      </c>
      <c r="P9" s="1" t="s">
        <v>48</v>
      </c>
    </row>
    <row r="10" spans="1:16">
      <c r="A10" s="1" t="s">
        <v>49</v>
      </c>
      <c r="B10" s="1" t="s">
        <v>1</v>
      </c>
      <c r="C10" s="1" t="s">
        <v>50</v>
      </c>
      <c r="D10" s="4" t="s">
        <v>51</v>
      </c>
      <c r="E10" s="4" t="s">
        <v>52</v>
      </c>
      <c r="F10" s="4" t="s">
        <v>53</v>
      </c>
      <c r="G10" s="1">
        <v>4</v>
      </c>
      <c r="H10" s="1">
        <v>14</v>
      </c>
      <c r="I10" s="9">
        <f t="shared" si="0"/>
        <v>18</v>
      </c>
      <c r="J10" s="10">
        <v>3.73</v>
      </c>
      <c r="K10" s="12" t="s">
        <v>54</v>
      </c>
      <c r="L10" s="2">
        <v>46031</v>
      </c>
      <c r="M10" s="1" t="s">
        <v>6</v>
      </c>
      <c r="N10" s="2">
        <v>46036</v>
      </c>
      <c r="O10" s="3">
        <f>NETWORKDAYS(L10,N10,[1]Holidays!$B$2:$B$16)</f>
        <v>4</v>
      </c>
      <c r="P10" s="1" t="s">
        <v>55</v>
      </c>
    </row>
    <row r="11" spans="1:16">
      <c r="A11" s="1" t="s">
        <v>56</v>
      </c>
      <c r="B11" s="1" t="s">
        <v>1</v>
      </c>
      <c r="C11" s="1" t="s">
        <v>57</v>
      </c>
      <c r="D11" s="4" t="s">
        <v>58</v>
      </c>
      <c r="E11" s="4" t="s">
        <v>59</v>
      </c>
      <c r="F11" s="1"/>
      <c r="G11" s="1">
        <v>3</v>
      </c>
      <c r="H11" s="1">
        <v>7</v>
      </c>
      <c r="I11" s="9">
        <f t="shared" si="0"/>
        <v>10</v>
      </c>
      <c r="J11" s="15">
        <v>3</v>
      </c>
      <c r="K11" s="16" t="s">
        <v>60</v>
      </c>
      <c r="L11" s="2">
        <v>46030</v>
      </c>
      <c r="M11" s="1" t="s">
        <v>6</v>
      </c>
      <c r="N11" s="2">
        <v>46036</v>
      </c>
      <c r="O11" s="3">
        <f>NETWORKDAYS(L11,N11,[1]Holidays!$B$2:$B$16)</f>
        <v>5</v>
      </c>
      <c r="P11" s="1" t="s">
        <v>30</v>
      </c>
    </row>
    <row r="12" spans="1:16">
      <c r="A12" s="1" t="s">
        <v>61</v>
      </c>
      <c r="B12" s="1" t="s">
        <v>1</v>
      </c>
      <c r="C12" s="1" t="s">
        <v>2</v>
      </c>
      <c r="D12" s="17" t="s">
        <v>62</v>
      </c>
      <c r="E12" s="4" t="s">
        <v>63</v>
      </c>
      <c r="F12" s="18"/>
      <c r="G12" s="1">
        <v>3</v>
      </c>
      <c r="H12" s="1">
        <v>5</v>
      </c>
      <c r="I12" s="9">
        <f t="shared" si="0"/>
        <v>8</v>
      </c>
      <c r="J12" s="6">
        <v>3.18</v>
      </c>
      <c r="K12" s="12" t="s">
        <v>64</v>
      </c>
      <c r="L12" s="2">
        <v>46034</v>
      </c>
      <c r="M12" s="1" t="s">
        <v>6</v>
      </c>
      <c r="N12" s="2">
        <v>46036</v>
      </c>
      <c r="O12" s="3">
        <f>NETWORKDAYS(L12,N12,[1]Holidays!$B$2:$B$16)</f>
        <v>3</v>
      </c>
      <c r="P12" s="1" t="s">
        <v>7</v>
      </c>
    </row>
    <row r="13" spans="1:16">
      <c r="A13" s="1" t="s">
        <v>65</v>
      </c>
      <c r="B13" s="1" t="s">
        <v>1</v>
      </c>
      <c r="C13" s="1" t="s">
        <v>50</v>
      </c>
      <c r="D13" s="4" t="s">
        <v>66</v>
      </c>
      <c r="E13" s="5">
        <v>45672</v>
      </c>
      <c r="F13" s="4" t="s">
        <v>67</v>
      </c>
      <c r="G13" s="1">
        <v>7</v>
      </c>
      <c r="H13" s="1">
        <v>8</v>
      </c>
      <c r="I13" s="9">
        <f t="shared" si="0"/>
        <v>15</v>
      </c>
      <c r="J13" s="6">
        <v>3.72</v>
      </c>
      <c r="K13" s="12" t="s">
        <v>68</v>
      </c>
      <c r="L13" s="2">
        <v>46034</v>
      </c>
      <c r="M13" s="1" t="s">
        <v>6</v>
      </c>
      <c r="N13" s="2">
        <v>46036</v>
      </c>
      <c r="O13" s="3">
        <f>NETWORKDAYS(L13,N13,[1]Holidays!$B$2:$B$16)</f>
        <v>3</v>
      </c>
      <c r="P13" s="1" t="s">
        <v>69</v>
      </c>
    </row>
    <row r="14" spans="1:16">
      <c r="A14" s="1" t="s">
        <v>70</v>
      </c>
      <c r="B14" s="1" t="s">
        <v>1</v>
      </c>
      <c r="C14" s="1" t="s">
        <v>14</v>
      </c>
      <c r="D14" s="4" t="s">
        <v>71</v>
      </c>
      <c r="E14" s="4" t="s">
        <v>72</v>
      </c>
      <c r="F14" s="4" t="s">
        <v>73</v>
      </c>
      <c r="G14" s="1">
        <v>3</v>
      </c>
      <c r="H14" s="1">
        <v>4</v>
      </c>
      <c r="I14" s="9">
        <f t="shared" si="0"/>
        <v>7</v>
      </c>
      <c r="J14" s="6">
        <v>4</v>
      </c>
      <c r="K14" s="12" t="s">
        <v>74</v>
      </c>
      <c r="L14" s="2">
        <v>46034</v>
      </c>
      <c r="M14" s="1" t="s">
        <v>6</v>
      </c>
      <c r="N14" s="2">
        <v>46037</v>
      </c>
      <c r="O14" s="3">
        <f>NETWORKDAYS(L14,N14,[1]Holidays!$B$2:$B$16)</f>
        <v>4</v>
      </c>
      <c r="P14" s="3" t="s">
        <v>69</v>
      </c>
    </row>
    <row r="15" spans="1:16">
      <c r="A15" s="1" t="s">
        <v>75</v>
      </c>
      <c r="B15" s="1" t="s">
        <v>1</v>
      </c>
      <c r="C15" s="1" t="s">
        <v>76</v>
      </c>
      <c r="D15" s="4" t="s">
        <v>77</v>
      </c>
      <c r="E15" s="1"/>
      <c r="F15" s="1"/>
      <c r="G15" s="18"/>
      <c r="H15" s="18"/>
      <c r="I15" s="19">
        <f t="shared" si="0"/>
        <v>0</v>
      </c>
      <c r="J15" s="15"/>
      <c r="K15" s="18"/>
      <c r="L15" s="2">
        <v>46034</v>
      </c>
      <c r="M15" s="18"/>
      <c r="N15" s="2"/>
      <c r="O15" s="3">
        <f>NETWORKDAYS(L15,N15,[1]Holidays!$B$2:$B$16)</f>
        <v>-32880</v>
      </c>
      <c r="P15" s="1"/>
    </row>
    <row r="16" spans="1:16">
      <c r="A16" s="1" t="s">
        <v>78</v>
      </c>
      <c r="B16" s="1" t="s">
        <v>1</v>
      </c>
      <c r="C16" s="1" t="s">
        <v>79</v>
      </c>
      <c r="D16" s="4" t="s">
        <v>80</v>
      </c>
      <c r="E16" s="4" t="s">
        <v>81</v>
      </c>
      <c r="F16" s="4" t="s">
        <v>82</v>
      </c>
      <c r="G16" s="1">
        <v>11</v>
      </c>
      <c r="H16" s="1">
        <v>27</v>
      </c>
      <c r="I16" s="9">
        <f t="shared" si="0"/>
        <v>38</v>
      </c>
      <c r="J16" s="6">
        <v>3.73</v>
      </c>
      <c r="K16" s="12" t="s">
        <v>83</v>
      </c>
      <c r="L16" s="2">
        <v>46034</v>
      </c>
      <c r="M16" s="1" t="s">
        <v>6</v>
      </c>
      <c r="N16" s="2">
        <v>46037</v>
      </c>
      <c r="O16" s="3">
        <f>NETWORKDAYS(L16,N16,[1]Holidays!$B$2:$B$16)</f>
        <v>4</v>
      </c>
      <c r="P16" s="1" t="s">
        <v>7</v>
      </c>
    </row>
    <row r="17" spans="1:16">
      <c r="A17" s="1" t="s">
        <v>84</v>
      </c>
      <c r="B17" s="1" t="s">
        <v>1</v>
      </c>
      <c r="C17" s="1" t="s">
        <v>85</v>
      </c>
      <c r="D17" s="4" t="s">
        <v>86</v>
      </c>
      <c r="E17" s="4" t="s">
        <v>87</v>
      </c>
      <c r="F17" s="1"/>
      <c r="G17" s="1">
        <v>4</v>
      </c>
      <c r="H17" s="1">
        <v>18</v>
      </c>
      <c r="I17" s="9">
        <f t="shared" si="0"/>
        <v>22</v>
      </c>
      <c r="J17" s="6">
        <v>3.18</v>
      </c>
      <c r="K17" s="16" t="s">
        <v>88</v>
      </c>
      <c r="L17" s="2">
        <v>46034</v>
      </c>
      <c r="M17" s="1" t="s">
        <v>6</v>
      </c>
      <c r="N17" s="2">
        <v>46037</v>
      </c>
      <c r="O17" s="3">
        <f>NETWORKDAYS(L17,N17,[1]Holidays!$B$2:$B$16)</f>
        <v>4</v>
      </c>
      <c r="P17" s="1" t="s">
        <v>7</v>
      </c>
    </row>
    <row r="18" spans="1:16">
      <c r="A18" s="1" t="s">
        <v>89</v>
      </c>
      <c r="B18" s="1" t="s">
        <v>1</v>
      </c>
      <c r="C18" s="1" t="s">
        <v>90</v>
      </c>
      <c r="D18" s="4" t="s">
        <v>91</v>
      </c>
      <c r="E18" s="4" t="s">
        <v>92</v>
      </c>
      <c r="F18" s="4" t="s">
        <v>93</v>
      </c>
      <c r="G18" s="1">
        <v>2</v>
      </c>
      <c r="H18" s="1">
        <v>25</v>
      </c>
      <c r="I18" s="9">
        <f t="shared" si="0"/>
        <v>27</v>
      </c>
      <c r="J18" s="6">
        <v>3.09</v>
      </c>
      <c r="K18" s="12" t="s">
        <v>94</v>
      </c>
      <c r="L18" s="2">
        <v>46035</v>
      </c>
      <c r="M18" s="1" t="s">
        <v>6</v>
      </c>
      <c r="N18" s="2">
        <v>46037</v>
      </c>
      <c r="O18" s="3">
        <f>NETWORKDAYS(L18,N18,[1]Holidays!$B$2:$B$16)</f>
        <v>3</v>
      </c>
      <c r="P18" s="1" t="s">
        <v>95</v>
      </c>
    </row>
    <row r="19" spans="1:16">
      <c r="A19" s="1" t="s">
        <v>96</v>
      </c>
      <c r="B19" s="1" t="s">
        <v>1</v>
      </c>
      <c r="C19" s="1" t="s">
        <v>21</v>
      </c>
      <c r="D19" s="4" t="s">
        <v>97</v>
      </c>
      <c r="E19" s="4" t="s">
        <v>98</v>
      </c>
      <c r="F19" s="4" t="s">
        <v>21</v>
      </c>
      <c r="G19" s="1">
        <v>0</v>
      </c>
      <c r="H19" s="1">
        <v>12</v>
      </c>
      <c r="I19" s="9">
        <f t="shared" si="0"/>
        <v>12</v>
      </c>
      <c r="J19" s="6">
        <v>3.54</v>
      </c>
      <c r="K19" s="12" t="s">
        <v>99</v>
      </c>
      <c r="L19" s="2">
        <v>46036</v>
      </c>
      <c r="M19" s="1" t="s">
        <v>6</v>
      </c>
      <c r="N19" s="2">
        <v>46037</v>
      </c>
      <c r="O19" s="3">
        <f>NETWORKDAYS(L19,N19,[1]Holidays!$B$2:$B$16)</f>
        <v>2</v>
      </c>
      <c r="P19" s="1" t="s">
        <v>7</v>
      </c>
    </row>
    <row r="20" spans="1:16">
      <c r="A20" s="1" t="s">
        <v>100</v>
      </c>
      <c r="B20" s="1" t="s">
        <v>1</v>
      </c>
      <c r="C20" s="1" t="s">
        <v>101</v>
      </c>
      <c r="D20" s="4" t="s">
        <v>102</v>
      </c>
      <c r="E20" s="4" t="s">
        <v>103</v>
      </c>
      <c r="F20" s="4" t="s">
        <v>104</v>
      </c>
      <c r="G20" s="1">
        <v>2</v>
      </c>
      <c r="H20" s="1">
        <v>31</v>
      </c>
      <c r="I20" s="9">
        <f t="shared" si="0"/>
        <v>33</v>
      </c>
      <c r="J20" s="6">
        <v>3.64</v>
      </c>
      <c r="K20" s="12" t="s">
        <v>105</v>
      </c>
      <c r="L20" s="2">
        <v>46035</v>
      </c>
      <c r="M20" s="1" t="s">
        <v>6</v>
      </c>
      <c r="N20" s="2">
        <v>46037</v>
      </c>
      <c r="O20" s="3">
        <f>NETWORKDAYS(L20,N20,[1]Holidays!$B$2:$B$16)</f>
        <v>3</v>
      </c>
      <c r="P20" s="1" t="s">
        <v>106</v>
      </c>
    </row>
    <row r="21" spans="1:16">
      <c r="A21" s="1" t="s">
        <v>107</v>
      </c>
      <c r="B21" s="1" t="s">
        <v>1</v>
      </c>
      <c r="C21" s="1" t="s">
        <v>108</v>
      </c>
      <c r="D21" s="4" t="s">
        <v>109</v>
      </c>
      <c r="E21" s="4" t="s">
        <v>110</v>
      </c>
      <c r="F21" s="4" t="s">
        <v>111</v>
      </c>
      <c r="G21" s="1">
        <v>4</v>
      </c>
      <c r="H21" s="1">
        <v>20</v>
      </c>
      <c r="I21" s="9">
        <f t="shared" si="0"/>
        <v>24</v>
      </c>
      <c r="J21" s="6">
        <v>3.73</v>
      </c>
      <c r="K21" s="12" t="s">
        <v>112</v>
      </c>
      <c r="L21" s="2">
        <v>46035</v>
      </c>
      <c r="M21" s="1" t="s">
        <v>6</v>
      </c>
      <c r="N21" s="2">
        <v>46037</v>
      </c>
      <c r="O21" s="3">
        <f>NETWORKDAYS(L21,N21,[1]Holidays!$B$2:$B$16)</f>
        <v>3</v>
      </c>
      <c r="P21" s="1" t="s">
        <v>7</v>
      </c>
    </row>
    <row r="22" spans="1:16">
      <c r="A22" s="1" t="s">
        <v>113</v>
      </c>
      <c r="B22" s="1" t="s">
        <v>1</v>
      </c>
      <c r="C22" s="1" t="s">
        <v>40</v>
      </c>
      <c r="D22" s="4" t="s">
        <v>114</v>
      </c>
      <c r="E22" s="20" t="s">
        <v>115</v>
      </c>
      <c r="F22" s="4" t="s">
        <v>116</v>
      </c>
      <c r="G22" s="1">
        <v>2</v>
      </c>
      <c r="H22" s="1">
        <v>6</v>
      </c>
      <c r="I22" s="9">
        <f t="shared" si="0"/>
        <v>8</v>
      </c>
      <c r="J22" s="6">
        <v>3.82</v>
      </c>
      <c r="K22" s="13" t="s">
        <v>117</v>
      </c>
      <c r="L22" s="2">
        <v>46048</v>
      </c>
      <c r="M22" s="1" t="s">
        <v>6</v>
      </c>
      <c r="N22" s="2">
        <v>46049</v>
      </c>
      <c r="O22" s="3">
        <f>NETWORKDAYS(L22,N22,[1]Holidays!$B$2:$B$16)</f>
        <v>2</v>
      </c>
      <c r="P22" s="1" t="s">
        <v>118</v>
      </c>
    </row>
    <row r="23" spans="1:16">
      <c r="A23" s="1" t="s">
        <v>119</v>
      </c>
      <c r="B23" s="1" t="s">
        <v>1</v>
      </c>
      <c r="C23" s="1" t="s">
        <v>120</v>
      </c>
      <c r="D23" s="4" t="s">
        <v>121</v>
      </c>
      <c r="E23" s="5">
        <v>46038</v>
      </c>
      <c r="F23" s="4" t="s">
        <v>122</v>
      </c>
      <c r="G23" s="1">
        <v>0</v>
      </c>
      <c r="H23" s="1">
        <v>11</v>
      </c>
      <c r="I23" s="9">
        <f t="shared" si="0"/>
        <v>11</v>
      </c>
      <c r="J23" s="6">
        <v>3.64</v>
      </c>
      <c r="K23" s="12" t="s">
        <v>123</v>
      </c>
      <c r="L23" s="2">
        <v>46027</v>
      </c>
      <c r="M23" s="1" t="s">
        <v>6</v>
      </c>
      <c r="N23" s="2">
        <v>46029</v>
      </c>
      <c r="O23" s="3">
        <f>NETWORKDAYS(L23,N23,[1]Holidays!$B$2:$B$16)</f>
        <v>3</v>
      </c>
      <c r="P23" s="1"/>
    </row>
    <row r="24" spans="1:16">
      <c r="A24" s="1" t="s">
        <v>124</v>
      </c>
      <c r="B24" s="1" t="s">
        <v>1</v>
      </c>
      <c r="C24" s="1" t="s">
        <v>120</v>
      </c>
      <c r="D24" s="4" t="s">
        <v>125</v>
      </c>
      <c r="E24" s="4" t="s">
        <v>126</v>
      </c>
      <c r="F24" s="1"/>
      <c r="G24" s="1">
        <v>0</v>
      </c>
      <c r="H24" s="1">
        <v>11</v>
      </c>
      <c r="I24" s="9">
        <f t="shared" si="0"/>
        <v>11</v>
      </c>
      <c r="J24" s="6">
        <v>3.82</v>
      </c>
      <c r="K24" s="12" t="s">
        <v>127</v>
      </c>
      <c r="L24" s="2">
        <v>46027</v>
      </c>
      <c r="M24" s="1" t="s">
        <v>6</v>
      </c>
      <c r="N24" s="2">
        <v>46029</v>
      </c>
      <c r="O24" s="3">
        <f>NETWORKDAYS(L24,N24,[1]Holidays!$B$2:$B$16)</f>
        <v>3</v>
      </c>
      <c r="P24" s="1"/>
    </row>
    <row r="25" spans="1:16">
      <c r="A25" s="1" t="s">
        <v>128</v>
      </c>
      <c r="B25" s="1" t="s">
        <v>1</v>
      </c>
      <c r="C25" s="1" t="s">
        <v>120</v>
      </c>
      <c r="D25" s="4" t="s">
        <v>129</v>
      </c>
      <c r="E25" s="5">
        <v>46031</v>
      </c>
      <c r="F25" s="4" t="s">
        <v>130</v>
      </c>
      <c r="G25" s="1">
        <v>0</v>
      </c>
      <c r="H25" s="1">
        <v>9</v>
      </c>
      <c r="I25" s="9">
        <f t="shared" si="0"/>
        <v>9</v>
      </c>
      <c r="J25" s="6">
        <v>3.82</v>
      </c>
      <c r="K25" s="12" t="s">
        <v>131</v>
      </c>
      <c r="L25" s="2">
        <v>46027</v>
      </c>
      <c r="M25" s="1" t="s">
        <v>6</v>
      </c>
      <c r="N25" s="2">
        <v>46029</v>
      </c>
      <c r="O25" s="3">
        <f>NETWORKDAYS(L25,N25,[1]Holidays!$B$2:$B$16)</f>
        <v>3</v>
      </c>
      <c r="P25" s="1"/>
    </row>
    <row r="26" spans="1:16">
      <c r="A26" s="1" t="s">
        <v>132</v>
      </c>
      <c r="B26" s="1" t="s">
        <v>1</v>
      </c>
      <c r="C26" s="1" t="s">
        <v>133</v>
      </c>
      <c r="D26" s="4" t="s">
        <v>134</v>
      </c>
      <c r="E26" s="12" t="s">
        <v>135</v>
      </c>
      <c r="F26" s="4" t="s">
        <v>133</v>
      </c>
      <c r="G26" s="21"/>
      <c r="H26" s="21"/>
      <c r="I26" s="21"/>
      <c r="J26" s="15"/>
      <c r="K26" s="21"/>
      <c r="L26" s="2">
        <v>46036</v>
      </c>
      <c r="M26" s="1" t="s">
        <v>6</v>
      </c>
      <c r="N26" s="2"/>
      <c r="O26" s="3">
        <f>NETWORKDAYS(L26,N26,[1]Holidays!$B$2:$B$16)</f>
        <v>-32882</v>
      </c>
      <c r="P26" s="1" t="s">
        <v>136</v>
      </c>
    </row>
    <row r="27" spans="1:16">
      <c r="A27" s="1" t="s">
        <v>137</v>
      </c>
      <c r="B27" s="1" t="s">
        <v>1</v>
      </c>
      <c r="C27" s="1" t="s">
        <v>138</v>
      </c>
      <c r="D27" s="4" t="s">
        <v>139</v>
      </c>
      <c r="E27" s="4" t="s">
        <v>140</v>
      </c>
      <c r="F27" s="4" t="s">
        <v>141</v>
      </c>
      <c r="G27" s="1">
        <v>1</v>
      </c>
      <c r="H27" s="1">
        <v>63</v>
      </c>
      <c r="I27" s="9">
        <f t="shared" ref="I27:I54" si="1">SUM(G27:H27)</f>
        <v>64</v>
      </c>
      <c r="J27" s="6">
        <v>3.45</v>
      </c>
      <c r="K27" s="12" t="s">
        <v>142</v>
      </c>
      <c r="L27" s="2">
        <v>46036</v>
      </c>
      <c r="M27" s="1" t="s">
        <v>6</v>
      </c>
      <c r="N27" s="2">
        <v>46038</v>
      </c>
      <c r="O27" s="3">
        <f>NETWORKDAYS(L27,N27,[1]Holidays!$B$2:$B$16)</f>
        <v>3</v>
      </c>
      <c r="P27" s="1"/>
    </row>
    <row r="28" spans="1:16">
      <c r="A28" s="1" t="s">
        <v>143</v>
      </c>
      <c r="B28" s="1" t="s">
        <v>1</v>
      </c>
      <c r="C28" s="1" t="s">
        <v>79</v>
      </c>
      <c r="D28" s="4" t="s">
        <v>144</v>
      </c>
      <c r="E28" s="4" t="s">
        <v>145</v>
      </c>
      <c r="F28" s="4" t="s">
        <v>146</v>
      </c>
      <c r="G28" s="1">
        <v>2</v>
      </c>
      <c r="H28" s="1">
        <v>13</v>
      </c>
      <c r="I28" s="9">
        <f t="shared" si="1"/>
        <v>15</v>
      </c>
      <c r="J28" s="15"/>
      <c r="K28" s="21"/>
      <c r="L28" s="2">
        <v>46036</v>
      </c>
      <c r="M28" s="1" t="s">
        <v>6</v>
      </c>
      <c r="N28" s="2">
        <v>46042</v>
      </c>
      <c r="O28" s="3">
        <f>NETWORKDAYS(L28,N28,[1]Holidays!$B$2:$B$16)</f>
        <v>5</v>
      </c>
      <c r="P28" s="22" t="s">
        <v>147</v>
      </c>
    </row>
    <row r="29" spans="1:16">
      <c r="A29" s="1" t="s">
        <v>148</v>
      </c>
      <c r="B29" s="1" t="s">
        <v>1</v>
      </c>
      <c r="C29" s="1" t="s">
        <v>149</v>
      </c>
      <c r="D29" s="4" t="s">
        <v>150</v>
      </c>
      <c r="E29" s="10" t="s">
        <v>151</v>
      </c>
      <c r="F29" s="4" t="s">
        <v>152</v>
      </c>
      <c r="G29" s="1">
        <v>16</v>
      </c>
      <c r="H29" s="1">
        <v>43</v>
      </c>
      <c r="I29" s="9">
        <f t="shared" si="1"/>
        <v>59</v>
      </c>
      <c r="J29" s="15"/>
      <c r="K29" s="21"/>
      <c r="L29" s="2">
        <v>46036</v>
      </c>
      <c r="M29" s="1" t="s">
        <v>6</v>
      </c>
      <c r="N29" s="2">
        <v>46038</v>
      </c>
      <c r="O29" s="3">
        <f>NETWORKDAYS(L29,N29,[1]Holidays!$B$2:$B$16)</f>
        <v>3</v>
      </c>
      <c r="P29" s="1"/>
    </row>
    <row r="30" spans="1:16">
      <c r="A30" s="1" t="s">
        <v>153</v>
      </c>
      <c r="B30" s="1" t="s">
        <v>1</v>
      </c>
      <c r="C30" s="1" t="s">
        <v>154</v>
      </c>
      <c r="D30" s="4" t="s">
        <v>155</v>
      </c>
      <c r="E30" s="4" t="s">
        <v>156</v>
      </c>
      <c r="F30" s="4" t="s">
        <v>154</v>
      </c>
      <c r="G30" s="1">
        <v>3</v>
      </c>
      <c r="H30" s="1">
        <v>7</v>
      </c>
      <c r="I30" s="9">
        <f t="shared" si="1"/>
        <v>10</v>
      </c>
      <c r="J30" s="15"/>
      <c r="K30" s="21"/>
      <c r="L30" s="2">
        <v>46036</v>
      </c>
      <c r="M30" s="1" t="s">
        <v>6</v>
      </c>
      <c r="N30" s="2">
        <v>46038</v>
      </c>
      <c r="O30" s="3">
        <f>NETWORKDAYS(L30,N30,[1]Holidays!$B$2:$B$16)</f>
        <v>3</v>
      </c>
      <c r="P30" s="1"/>
    </row>
    <row r="31" spans="1:16">
      <c r="A31" s="1" t="s">
        <v>157</v>
      </c>
      <c r="B31" s="1" t="s">
        <v>1</v>
      </c>
      <c r="C31" s="1" t="s">
        <v>154</v>
      </c>
      <c r="D31" s="4" t="s">
        <v>158</v>
      </c>
      <c r="E31" s="4" t="s">
        <v>159</v>
      </c>
      <c r="F31" s="4" t="s">
        <v>154</v>
      </c>
      <c r="G31" s="1">
        <v>3</v>
      </c>
      <c r="H31" s="1">
        <v>7</v>
      </c>
      <c r="I31" s="9">
        <f t="shared" si="1"/>
        <v>10</v>
      </c>
      <c r="J31" s="15">
        <v>3.73</v>
      </c>
      <c r="K31" s="23" t="s">
        <v>160</v>
      </c>
      <c r="L31" s="2">
        <v>46036</v>
      </c>
      <c r="M31" s="1" t="s">
        <v>6</v>
      </c>
      <c r="N31" s="2">
        <v>46038</v>
      </c>
      <c r="O31" s="3">
        <f>NETWORKDAYS(L31,N31,[1]Holidays!$B$2:$B$16)</f>
        <v>3</v>
      </c>
      <c r="P31" s="1"/>
    </row>
    <row r="32" spans="1:16">
      <c r="A32" s="1" t="s">
        <v>161</v>
      </c>
      <c r="B32" s="1" t="s">
        <v>1</v>
      </c>
      <c r="C32" s="1" t="s">
        <v>154</v>
      </c>
      <c r="D32" s="4" t="s">
        <v>158</v>
      </c>
      <c r="E32" s="4" t="s">
        <v>159</v>
      </c>
      <c r="F32" s="4" t="s">
        <v>154</v>
      </c>
      <c r="G32" s="1">
        <v>3</v>
      </c>
      <c r="H32" s="1">
        <v>7</v>
      </c>
      <c r="I32" s="9">
        <f t="shared" si="1"/>
        <v>10</v>
      </c>
      <c r="J32" s="15"/>
      <c r="K32" s="21"/>
      <c r="L32" s="2">
        <v>46036</v>
      </c>
      <c r="M32" s="1" t="s">
        <v>6</v>
      </c>
      <c r="N32" s="2">
        <v>46038</v>
      </c>
      <c r="O32" s="3">
        <f>NETWORKDAYS(L32,N32,[1]Holidays!$B$2:$B$16)</f>
        <v>3</v>
      </c>
      <c r="P32" s="1"/>
    </row>
    <row r="33" spans="1:16">
      <c r="A33" s="1" t="s">
        <v>162</v>
      </c>
      <c r="B33" s="1" t="s">
        <v>1</v>
      </c>
      <c r="C33" s="1" t="s">
        <v>163</v>
      </c>
      <c r="D33" s="4" t="s">
        <v>164</v>
      </c>
      <c r="E33" s="4" t="s">
        <v>165</v>
      </c>
      <c r="F33" s="4" t="s">
        <v>166</v>
      </c>
      <c r="G33" s="1">
        <v>4</v>
      </c>
      <c r="H33" s="1">
        <v>11</v>
      </c>
      <c r="I33" s="9">
        <f t="shared" si="1"/>
        <v>15</v>
      </c>
      <c r="J33" s="6">
        <v>3.73</v>
      </c>
      <c r="K33" s="12" t="s">
        <v>167</v>
      </c>
      <c r="L33" s="2">
        <v>46036</v>
      </c>
      <c r="M33" s="1" t="s">
        <v>6</v>
      </c>
      <c r="N33" s="2">
        <v>46038</v>
      </c>
      <c r="O33" s="3">
        <f>NETWORKDAYS(L33,N33,[1]Holidays!$B$2:$B$16)</f>
        <v>3</v>
      </c>
      <c r="P33" s="1"/>
    </row>
    <row r="34" spans="1:16">
      <c r="A34" s="1" t="s">
        <v>168</v>
      </c>
      <c r="B34" s="1" t="s">
        <v>1</v>
      </c>
      <c r="C34" s="1" t="s">
        <v>163</v>
      </c>
      <c r="D34" s="4" t="s">
        <v>169</v>
      </c>
      <c r="E34" s="4" t="s">
        <v>170</v>
      </c>
      <c r="F34" s="4" t="s">
        <v>171</v>
      </c>
      <c r="G34" s="1">
        <v>5</v>
      </c>
      <c r="H34" s="1">
        <v>11</v>
      </c>
      <c r="I34" s="9">
        <f t="shared" si="1"/>
        <v>16</v>
      </c>
      <c r="J34" s="6">
        <v>3.27</v>
      </c>
      <c r="K34" s="12" t="s">
        <v>172</v>
      </c>
      <c r="L34" s="2">
        <v>46036</v>
      </c>
      <c r="M34" s="1" t="s">
        <v>6</v>
      </c>
      <c r="N34" s="2">
        <v>46038</v>
      </c>
      <c r="O34" s="3">
        <f>NETWORKDAYS(L34,N34,[1]Holidays!$B$2:$B$16)</f>
        <v>3</v>
      </c>
      <c r="P34" s="24" t="s">
        <v>173</v>
      </c>
    </row>
    <row r="35" spans="1:16">
      <c r="A35" s="1" t="s">
        <v>174</v>
      </c>
      <c r="B35" s="1" t="s">
        <v>1</v>
      </c>
      <c r="C35" s="1" t="s">
        <v>175</v>
      </c>
      <c r="D35" s="4" t="s">
        <v>176</v>
      </c>
      <c r="E35" s="4" t="s">
        <v>177</v>
      </c>
      <c r="F35" s="4" t="s">
        <v>178</v>
      </c>
      <c r="G35" s="1">
        <v>2</v>
      </c>
      <c r="H35" s="1">
        <v>10</v>
      </c>
      <c r="I35" s="9">
        <f t="shared" si="1"/>
        <v>12</v>
      </c>
      <c r="J35" s="15">
        <v>3.64</v>
      </c>
      <c r="K35" s="25" t="s">
        <v>179</v>
      </c>
      <c r="L35" s="2">
        <v>46036</v>
      </c>
      <c r="M35" s="1" t="s">
        <v>6</v>
      </c>
      <c r="N35" s="2">
        <v>46038</v>
      </c>
      <c r="O35" s="3">
        <f>NETWORKDAYS(L35,N35,[1]Holidays!$B$2:$B$16)</f>
        <v>3</v>
      </c>
      <c r="P35" s="1"/>
    </row>
    <row r="36" spans="1:16">
      <c r="A36" s="1" t="s">
        <v>180</v>
      </c>
      <c r="B36" s="1" t="s">
        <v>1</v>
      </c>
      <c r="C36" s="1" t="s">
        <v>175</v>
      </c>
      <c r="D36" s="4" t="s">
        <v>181</v>
      </c>
      <c r="E36" s="4" t="s">
        <v>182</v>
      </c>
      <c r="F36" s="4" t="s">
        <v>178</v>
      </c>
      <c r="G36" s="1">
        <v>2</v>
      </c>
      <c r="H36" s="1">
        <v>10</v>
      </c>
      <c r="I36" s="9">
        <f t="shared" si="1"/>
        <v>12</v>
      </c>
      <c r="J36" s="15">
        <v>3.64</v>
      </c>
      <c r="K36" s="12" t="s">
        <v>183</v>
      </c>
      <c r="L36" s="2">
        <v>46036</v>
      </c>
      <c r="M36" s="1" t="s">
        <v>6</v>
      </c>
      <c r="N36" s="2">
        <v>46038</v>
      </c>
      <c r="O36" s="3">
        <f>NETWORKDAYS(L36,N36,[1]Holidays!$B$2:$B$16)</f>
        <v>3</v>
      </c>
      <c r="P36" s="1"/>
    </row>
    <row r="37" spans="1:16">
      <c r="A37" s="1" t="s">
        <v>184</v>
      </c>
      <c r="B37" s="1" t="s">
        <v>1</v>
      </c>
      <c r="C37" s="1" t="s">
        <v>175</v>
      </c>
      <c r="D37" s="4" t="s">
        <v>185</v>
      </c>
      <c r="E37" s="4" t="s">
        <v>186</v>
      </c>
      <c r="F37" s="4" t="s">
        <v>178</v>
      </c>
      <c r="G37" s="1">
        <v>2</v>
      </c>
      <c r="H37" s="1">
        <v>10</v>
      </c>
      <c r="I37" s="9">
        <f t="shared" si="1"/>
        <v>12</v>
      </c>
      <c r="J37" s="15">
        <v>3.64</v>
      </c>
      <c r="K37" s="26" t="s">
        <v>187</v>
      </c>
      <c r="L37" s="2">
        <v>46036</v>
      </c>
      <c r="M37" s="1" t="s">
        <v>6</v>
      </c>
      <c r="N37" s="2">
        <v>46038</v>
      </c>
      <c r="O37" s="3">
        <f>NETWORKDAYS(L37,N37,[1]Holidays!$B$2:$B$16)</f>
        <v>3</v>
      </c>
      <c r="P37" s="1"/>
    </row>
    <row r="38" spans="1:16">
      <c r="A38" s="1" t="s">
        <v>188</v>
      </c>
      <c r="B38" s="1" t="s">
        <v>1</v>
      </c>
      <c r="C38" s="1" t="s">
        <v>175</v>
      </c>
      <c r="D38" s="4" t="s">
        <v>189</v>
      </c>
      <c r="E38" s="4" t="s">
        <v>190</v>
      </c>
      <c r="F38" s="4" t="s">
        <v>178</v>
      </c>
      <c r="G38" s="1">
        <v>2</v>
      </c>
      <c r="H38" s="1">
        <v>10</v>
      </c>
      <c r="I38" s="9">
        <f t="shared" si="1"/>
        <v>12</v>
      </c>
      <c r="J38" s="15">
        <v>3.64</v>
      </c>
      <c r="K38" s="26" t="s">
        <v>191</v>
      </c>
      <c r="L38" s="2">
        <v>46036</v>
      </c>
      <c r="M38" s="1" t="s">
        <v>6</v>
      </c>
      <c r="N38" s="2">
        <v>46038</v>
      </c>
      <c r="O38" s="3">
        <f>NETWORKDAYS(L38,N38,[1]Holidays!$B$2:$B$16)</f>
        <v>3</v>
      </c>
      <c r="P38" s="1"/>
    </row>
    <row r="39" spans="1:16">
      <c r="A39" s="1" t="s">
        <v>192</v>
      </c>
      <c r="B39" s="1" t="s">
        <v>1</v>
      </c>
      <c r="C39" s="1" t="s">
        <v>175</v>
      </c>
      <c r="D39" s="4" t="s">
        <v>193</v>
      </c>
      <c r="E39" s="4" t="s">
        <v>194</v>
      </c>
      <c r="F39" s="4" t="s">
        <v>178</v>
      </c>
      <c r="G39" s="1">
        <v>2</v>
      </c>
      <c r="H39" s="1">
        <v>10</v>
      </c>
      <c r="I39" s="9">
        <f t="shared" si="1"/>
        <v>12</v>
      </c>
      <c r="J39" s="15">
        <v>3.64</v>
      </c>
      <c r="K39" s="26" t="s">
        <v>195</v>
      </c>
      <c r="L39" s="2">
        <v>46036</v>
      </c>
      <c r="M39" s="1" t="s">
        <v>6</v>
      </c>
      <c r="N39" s="2">
        <v>46038</v>
      </c>
      <c r="O39" s="3">
        <f>NETWORKDAYS(L39,N39,[1]Holidays!$B$2:$B$16)</f>
        <v>3</v>
      </c>
      <c r="P39" s="1"/>
    </row>
    <row r="40" spans="1:16">
      <c r="A40" s="1" t="s">
        <v>196</v>
      </c>
      <c r="B40" s="1" t="s">
        <v>1</v>
      </c>
      <c r="C40" s="1" t="s">
        <v>175</v>
      </c>
      <c r="D40" s="4" t="s">
        <v>197</v>
      </c>
      <c r="E40" s="4" t="s">
        <v>198</v>
      </c>
      <c r="F40" s="4" t="s">
        <v>178</v>
      </c>
      <c r="G40" s="1">
        <v>2</v>
      </c>
      <c r="H40" s="1">
        <v>10</v>
      </c>
      <c r="I40" s="9">
        <f t="shared" si="1"/>
        <v>12</v>
      </c>
      <c r="J40" s="15">
        <v>3.64</v>
      </c>
      <c r="K40" s="26" t="s">
        <v>199</v>
      </c>
      <c r="L40" s="2">
        <v>46036</v>
      </c>
      <c r="M40" s="1" t="s">
        <v>6</v>
      </c>
      <c r="N40" s="2">
        <v>46038</v>
      </c>
      <c r="O40" s="3">
        <f>NETWORKDAYS(L40,N40,[1]Holidays!$B$2:$B$16)</f>
        <v>3</v>
      </c>
      <c r="P40" s="1"/>
    </row>
    <row r="41" spans="1:16">
      <c r="A41" s="1" t="s">
        <v>200</v>
      </c>
      <c r="B41" s="1" t="s">
        <v>1</v>
      </c>
      <c r="C41" s="1" t="s">
        <v>175</v>
      </c>
      <c r="D41" s="4" t="s">
        <v>201</v>
      </c>
      <c r="E41" s="10" t="s">
        <v>202</v>
      </c>
      <c r="F41" s="4" t="s">
        <v>178</v>
      </c>
      <c r="G41" s="1">
        <v>2</v>
      </c>
      <c r="H41" s="1">
        <v>10</v>
      </c>
      <c r="I41" s="9">
        <f t="shared" si="1"/>
        <v>12</v>
      </c>
      <c r="J41" s="15">
        <v>3.64</v>
      </c>
      <c r="K41" s="26" t="s">
        <v>203</v>
      </c>
      <c r="L41" s="2">
        <v>46036</v>
      </c>
      <c r="M41" s="1" t="s">
        <v>6</v>
      </c>
      <c r="N41" s="2">
        <v>46038</v>
      </c>
      <c r="O41" s="3">
        <f>NETWORKDAYS(L41,N41,[1]Holidays!$B$2:$B$16)</f>
        <v>3</v>
      </c>
      <c r="P41" s="1"/>
    </row>
    <row r="42" spans="1:16">
      <c r="A42" s="1" t="s">
        <v>204</v>
      </c>
      <c r="B42" s="1" t="s">
        <v>1</v>
      </c>
      <c r="C42" s="1" t="s">
        <v>175</v>
      </c>
      <c r="D42" s="4" t="s">
        <v>205</v>
      </c>
      <c r="E42" s="10" t="s">
        <v>202</v>
      </c>
      <c r="F42" s="4" t="s">
        <v>178</v>
      </c>
      <c r="G42" s="1">
        <v>2</v>
      </c>
      <c r="H42" s="1">
        <v>10</v>
      </c>
      <c r="I42" s="9">
        <f t="shared" si="1"/>
        <v>12</v>
      </c>
      <c r="J42" s="15">
        <v>3.64</v>
      </c>
      <c r="K42" s="26" t="s">
        <v>206</v>
      </c>
      <c r="L42" s="2">
        <v>46036</v>
      </c>
      <c r="M42" s="1" t="s">
        <v>6</v>
      </c>
      <c r="N42" s="2">
        <v>46038</v>
      </c>
      <c r="O42" s="3">
        <f>NETWORKDAYS(L42,N42,[1]Holidays!$B$2:$B$16)</f>
        <v>3</v>
      </c>
      <c r="P42" s="1"/>
    </row>
    <row r="43" spans="1:16">
      <c r="A43" s="1" t="s">
        <v>207</v>
      </c>
      <c r="B43" s="1" t="s">
        <v>1</v>
      </c>
      <c r="C43" s="1" t="s">
        <v>154</v>
      </c>
      <c r="D43" s="4" t="s">
        <v>208</v>
      </c>
      <c r="E43" s="10" t="s">
        <v>159</v>
      </c>
      <c r="F43" s="4" t="s">
        <v>154</v>
      </c>
      <c r="G43" s="1">
        <v>1</v>
      </c>
      <c r="H43" s="1">
        <v>9</v>
      </c>
      <c r="I43" s="9">
        <f t="shared" si="1"/>
        <v>10</v>
      </c>
      <c r="J43" s="15">
        <v>3.73</v>
      </c>
      <c r="K43" s="12" t="s">
        <v>209</v>
      </c>
      <c r="L43" s="2">
        <v>46036</v>
      </c>
      <c r="M43" s="1" t="s">
        <v>6</v>
      </c>
      <c r="N43" s="2">
        <v>46038</v>
      </c>
      <c r="O43" s="3">
        <f>NETWORKDAYS(L43,N43,[1]Holidays!$B$2:$B$16)</f>
        <v>3</v>
      </c>
      <c r="P43" s="1"/>
    </row>
    <row r="44" spans="1:16">
      <c r="A44" s="1" t="s">
        <v>210</v>
      </c>
      <c r="B44" s="1" t="s">
        <v>1</v>
      </c>
      <c r="C44" s="1" t="s">
        <v>154</v>
      </c>
      <c r="D44" s="4" t="s">
        <v>211</v>
      </c>
      <c r="E44" s="10" t="s">
        <v>159</v>
      </c>
      <c r="F44" s="4" t="s">
        <v>154</v>
      </c>
      <c r="G44" s="1">
        <v>1</v>
      </c>
      <c r="H44" s="1">
        <v>9</v>
      </c>
      <c r="I44" s="9">
        <f t="shared" si="1"/>
        <v>10</v>
      </c>
      <c r="J44" s="15">
        <v>3.73</v>
      </c>
      <c r="K44" s="12" t="s">
        <v>209</v>
      </c>
      <c r="L44" s="2">
        <v>46036</v>
      </c>
      <c r="M44" s="1" t="s">
        <v>6</v>
      </c>
      <c r="N44" s="2">
        <v>46038</v>
      </c>
      <c r="O44" s="3">
        <f>NETWORKDAYS(L44,N44,[1]Holidays!$B$2:$B$16)</f>
        <v>3</v>
      </c>
      <c r="P44" s="1"/>
    </row>
    <row r="45" spans="1:16">
      <c r="A45" s="1" t="s">
        <v>212</v>
      </c>
      <c r="B45" s="1" t="s">
        <v>1</v>
      </c>
      <c r="C45" s="1" t="s">
        <v>154</v>
      </c>
      <c r="D45" s="10" t="s">
        <v>213</v>
      </c>
      <c r="E45" s="10" t="s">
        <v>214</v>
      </c>
      <c r="F45" s="4" t="s">
        <v>154</v>
      </c>
      <c r="G45" s="1">
        <v>1</v>
      </c>
      <c r="H45" s="1">
        <v>9</v>
      </c>
      <c r="I45" s="9">
        <f t="shared" si="1"/>
        <v>10</v>
      </c>
      <c r="J45" s="6">
        <v>3.73</v>
      </c>
      <c r="K45" s="12" t="s">
        <v>209</v>
      </c>
      <c r="L45" s="2">
        <v>46036</v>
      </c>
      <c r="M45" s="1" t="s">
        <v>6</v>
      </c>
      <c r="N45" s="2">
        <v>46038</v>
      </c>
      <c r="O45" s="3">
        <f>NETWORKDAYS(L45,N45,[1]Holidays!$B$2:$B$16)</f>
        <v>3</v>
      </c>
      <c r="P45" s="1"/>
    </row>
    <row r="46" spans="1:16">
      <c r="A46" s="1" t="s">
        <v>215</v>
      </c>
      <c r="B46" s="1" t="s">
        <v>1</v>
      </c>
      <c r="C46" s="1" t="s">
        <v>216</v>
      </c>
      <c r="D46" s="4" t="s">
        <v>217</v>
      </c>
      <c r="E46" s="4" t="s">
        <v>218</v>
      </c>
      <c r="F46" s="4" t="s">
        <v>219</v>
      </c>
      <c r="G46" s="1">
        <v>3</v>
      </c>
      <c r="H46" s="1">
        <v>22</v>
      </c>
      <c r="I46" s="9">
        <f t="shared" si="1"/>
        <v>25</v>
      </c>
      <c r="J46" s="15"/>
      <c r="K46" s="11" t="s">
        <v>220</v>
      </c>
      <c r="L46" s="2">
        <v>46038</v>
      </c>
      <c r="M46" s="18" t="s">
        <v>6</v>
      </c>
      <c r="N46" s="2">
        <v>46042</v>
      </c>
      <c r="O46" s="3">
        <f>NETWORKDAYS(L46,N46,[1]Holidays!$B$2:$B$16)</f>
        <v>3</v>
      </c>
      <c r="P46" s="1"/>
    </row>
    <row r="47" spans="1:16">
      <c r="A47" s="1" t="s">
        <v>221</v>
      </c>
      <c r="B47" s="1" t="s">
        <v>1</v>
      </c>
      <c r="C47" s="1" t="s">
        <v>101</v>
      </c>
      <c r="D47" s="27" t="s">
        <v>222</v>
      </c>
      <c r="E47" s="27" t="s">
        <v>223</v>
      </c>
      <c r="F47" s="27" t="s">
        <v>224</v>
      </c>
      <c r="G47" s="1">
        <v>1</v>
      </c>
      <c r="H47" s="1">
        <v>40</v>
      </c>
      <c r="I47" s="9">
        <f t="shared" si="1"/>
        <v>41</v>
      </c>
      <c r="J47" s="15">
        <v>3.71</v>
      </c>
      <c r="K47" s="28" t="s">
        <v>225</v>
      </c>
      <c r="L47" s="2">
        <v>46041</v>
      </c>
      <c r="M47" s="1" t="s">
        <v>6</v>
      </c>
      <c r="N47" s="2">
        <v>46043</v>
      </c>
      <c r="O47" s="3">
        <f>NETWORKDAYS(L47,N47,[1]Holidays!$B$2:$B$16)</f>
        <v>3</v>
      </c>
      <c r="P47" s="1" t="s">
        <v>69</v>
      </c>
    </row>
    <row r="48" spans="1:16">
      <c r="A48" s="1" t="s">
        <v>226</v>
      </c>
      <c r="B48" s="1" t="s">
        <v>1</v>
      </c>
      <c r="C48" s="1" t="s">
        <v>40</v>
      </c>
      <c r="D48" s="4" t="s">
        <v>227</v>
      </c>
      <c r="E48" s="4" t="s">
        <v>228</v>
      </c>
      <c r="F48" s="4" t="s">
        <v>166</v>
      </c>
      <c r="G48" s="1">
        <v>2</v>
      </c>
      <c r="H48" s="1">
        <v>7</v>
      </c>
      <c r="I48" s="9">
        <f t="shared" si="1"/>
        <v>9</v>
      </c>
      <c r="J48" s="15">
        <v>3.64</v>
      </c>
      <c r="K48" s="12" t="s">
        <v>229</v>
      </c>
      <c r="L48" s="7">
        <v>46058</v>
      </c>
      <c r="M48" s="29" t="s">
        <v>230</v>
      </c>
      <c r="N48" s="2">
        <v>46058</v>
      </c>
      <c r="O48" s="3">
        <f>NETWORKDAYS(L48,N48,[1]Holidays!$B$2:$B$16)</f>
        <v>1</v>
      </c>
      <c r="P48" s="1" t="s">
        <v>48</v>
      </c>
    </row>
    <row r="49" spans="1:16">
      <c r="A49" s="1"/>
      <c r="B49" s="1"/>
      <c r="C49" s="1"/>
      <c r="D49" s="4"/>
      <c r="E49" s="4"/>
      <c r="F49" s="30"/>
      <c r="G49" s="1"/>
      <c r="H49" s="1"/>
      <c r="I49" s="9"/>
      <c r="J49" s="15"/>
      <c r="K49" s="31"/>
      <c r="L49" s="7"/>
      <c r="M49" s="29"/>
      <c r="N49" s="2"/>
      <c r="O49" s="3"/>
      <c r="P49" s="1"/>
    </row>
    <row r="50" spans="1:16">
      <c r="A50" s="1" t="s">
        <v>231</v>
      </c>
      <c r="B50" s="1" t="s">
        <v>1</v>
      </c>
      <c r="C50" s="1" t="s">
        <v>2</v>
      </c>
      <c r="D50" s="4" t="s">
        <v>62</v>
      </c>
      <c r="E50" s="5">
        <v>46045</v>
      </c>
      <c r="F50" s="1"/>
      <c r="G50" s="1">
        <v>3</v>
      </c>
      <c r="H50" s="1">
        <v>5</v>
      </c>
      <c r="I50" s="9">
        <f t="shared" si="1"/>
        <v>8</v>
      </c>
      <c r="J50" s="15">
        <v>3.18</v>
      </c>
      <c r="K50" s="26" t="s">
        <v>232</v>
      </c>
      <c r="L50" s="7">
        <v>46041</v>
      </c>
      <c r="M50" s="18" t="s">
        <v>6</v>
      </c>
      <c r="N50" s="2">
        <v>46043</v>
      </c>
      <c r="O50" s="3">
        <f>NETWORKDAYS(L50,N50,[1]Holidays!$B$2:$B$16)</f>
        <v>3</v>
      </c>
      <c r="P50" s="1"/>
    </row>
    <row r="51" spans="1:16">
      <c r="A51" s="1" t="s">
        <v>233</v>
      </c>
      <c r="B51" s="1" t="s">
        <v>1</v>
      </c>
      <c r="C51" s="1" t="s">
        <v>79</v>
      </c>
      <c r="D51" s="4" t="s">
        <v>234</v>
      </c>
      <c r="E51" s="12" t="s">
        <v>235</v>
      </c>
      <c r="F51" s="1"/>
      <c r="G51" s="1">
        <v>5</v>
      </c>
      <c r="H51" s="1">
        <v>9</v>
      </c>
      <c r="I51" s="9">
        <f t="shared" si="1"/>
        <v>14</v>
      </c>
      <c r="J51" s="15"/>
      <c r="K51" s="12" t="s">
        <v>236</v>
      </c>
      <c r="L51" s="7">
        <v>46041</v>
      </c>
      <c r="M51" s="1" t="s">
        <v>6</v>
      </c>
      <c r="N51" s="2">
        <v>46043</v>
      </c>
      <c r="O51" s="3">
        <f>NETWORKDAYS(L51,N51,[1]Holidays!$B$2:$B$16)</f>
        <v>3</v>
      </c>
      <c r="P51" s="1" t="s">
        <v>19</v>
      </c>
    </row>
    <row r="52" spans="1:16">
      <c r="A52" s="1" t="s">
        <v>237</v>
      </c>
      <c r="B52" s="1" t="s">
        <v>1</v>
      </c>
      <c r="C52" s="1" t="s">
        <v>238</v>
      </c>
      <c r="D52" s="4" t="s">
        <v>239</v>
      </c>
      <c r="E52" s="12" t="s">
        <v>240</v>
      </c>
      <c r="F52" s="1"/>
      <c r="G52" s="1">
        <v>2</v>
      </c>
      <c r="H52" s="1">
        <v>13</v>
      </c>
      <c r="I52" s="9">
        <f t="shared" si="1"/>
        <v>15</v>
      </c>
      <c r="J52" s="15">
        <v>3.64</v>
      </c>
      <c r="K52" s="12" t="s">
        <v>241</v>
      </c>
      <c r="L52" s="7">
        <v>46041</v>
      </c>
      <c r="M52" s="1" t="s">
        <v>6</v>
      </c>
      <c r="N52" s="2">
        <v>46042</v>
      </c>
      <c r="O52" s="3">
        <f>NETWORKDAYS(L52,N52,[1]Holidays!$B$2:$B$16)</f>
        <v>2</v>
      </c>
      <c r="P52" s="1" t="s">
        <v>242</v>
      </c>
    </row>
    <row r="53" spans="1:16">
      <c r="A53" s="1" t="s">
        <v>243</v>
      </c>
      <c r="B53" s="1" t="s">
        <v>1</v>
      </c>
      <c r="C53" s="1" t="s">
        <v>40</v>
      </c>
      <c r="D53" s="4" t="s">
        <v>244</v>
      </c>
      <c r="E53" s="32">
        <v>45868</v>
      </c>
      <c r="F53" s="33" t="s">
        <v>245</v>
      </c>
      <c r="G53" s="1">
        <v>7</v>
      </c>
      <c r="H53" s="1">
        <v>31</v>
      </c>
      <c r="I53" s="9">
        <f t="shared" si="1"/>
        <v>38</v>
      </c>
      <c r="J53" s="15"/>
      <c r="K53" s="21"/>
      <c r="L53" s="7">
        <v>46042</v>
      </c>
      <c r="M53" s="1" t="s">
        <v>6</v>
      </c>
      <c r="N53" s="2">
        <v>46045</v>
      </c>
      <c r="O53" s="3">
        <f>NETWORKDAYS(L53,N53,[1]Holidays!$B$2:$B$16)</f>
        <v>4</v>
      </c>
      <c r="P53" s="1" t="s">
        <v>246</v>
      </c>
    </row>
    <row r="54" spans="1:16">
      <c r="A54" s="1" t="s">
        <v>247</v>
      </c>
      <c r="B54" s="1" t="s">
        <v>1</v>
      </c>
      <c r="C54" s="1" t="s">
        <v>248</v>
      </c>
      <c r="D54" s="4" t="s">
        <v>249</v>
      </c>
      <c r="E54" s="12" t="s">
        <v>250</v>
      </c>
      <c r="F54" s="33" t="s">
        <v>251</v>
      </c>
      <c r="G54" s="1">
        <v>4</v>
      </c>
      <c r="H54" s="1">
        <v>9</v>
      </c>
      <c r="I54" s="9">
        <f t="shared" si="1"/>
        <v>13</v>
      </c>
      <c r="J54" s="15"/>
      <c r="K54" s="12" t="s">
        <v>252</v>
      </c>
      <c r="L54" s="7">
        <v>46042</v>
      </c>
      <c r="M54" s="1" t="s">
        <v>6</v>
      </c>
      <c r="N54" s="2">
        <v>46043</v>
      </c>
      <c r="O54" s="3">
        <f>NETWORKDAYS(L54,N54,[1]Holidays!$B$2:$B$16)</f>
        <v>2</v>
      </c>
      <c r="P54" s="1"/>
    </row>
    <row r="55" spans="1:16">
      <c r="A55" s="1" t="s">
        <v>253</v>
      </c>
      <c r="B55" s="1" t="s">
        <v>254</v>
      </c>
      <c r="C55" s="1" t="s">
        <v>79</v>
      </c>
      <c r="D55" s="4" t="s">
        <v>255</v>
      </c>
      <c r="E55" s="12" t="s">
        <v>256</v>
      </c>
      <c r="F55" s="33"/>
      <c r="G55" s="1">
        <v>5818</v>
      </c>
      <c r="H55" s="1">
        <v>5992</v>
      </c>
      <c r="I55" s="9">
        <v>11801</v>
      </c>
      <c r="J55" s="15">
        <v>4</v>
      </c>
      <c r="K55" s="34" t="s">
        <v>257</v>
      </c>
      <c r="L55" s="7">
        <v>46049</v>
      </c>
      <c r="M55" s="1" t="s">
        <v>6</v>
      </c>
      <c r="N55" s="2">
        <v>46049</v>
      </c>
      <c r="O55" s="3">
        <f>NETWORKDAYS(L55,N55,[1]Holidays!$B$2:$B$16)</f>
        <v>1</v>
      </c>
      <c r="P55" s="1" t="s">
        <v>258</v>
      </c>
    </row>
    <row r="56" spans="1:16">
      <c r="A56" s="1" t="s">
        <v>259</v>
      </c>
      <c r="B56" s="1" t="s">
        <v>1</v>
      </c>
      <c r="C56" s="1" t="s">
        <v>260</v>
      </c>
      <c r="D56" s="4" t="s">
        <v>261</v>
      </c>
      <c r="E56" s="5">
        <v>46059</v>
      </c>
      <c r="F56" s="4" t="s">
        <v>262</v>
      </c>
      <c r="G56" s="1">
        <v>1</v>
      </c>
      <c r="H56" s="1">
        <v>26</v>
      </c>
      <c r="I56" s="9">
        <f t="shared" ref="I56:I119" si="2">SUM(G56:H56)</f>
        <v>27</v>
      </c>
      <c r="J56" s="15"/>
      <c r="K56" s="12" t="s">
        <v>263</v>
      </c>
      <c r="L56" s="7">
        <v>46044</v>
      </c>
      <c r="M56" s="1" t="s">
        <v>6</v>
      </c>
      <c r="N56" s="2">
        <v>46048</v>
      </c>
      <c r="O56" s="3">
        <f>NETWORKDAYS(L56,N56,[1]Holidays!$B$2:$B$16)</f>
        <v>3</v>
      </c>
      <c r="P56" s="1"/>
    </row>
    <row r="57" spans="1:16">
      <c r="A57" s="1" t="s">
        <v>264</v>
      </c>
      <c r="B57" s="1" t="s">
        <v>1</v>
      </c>
      <c r="C57" s="1" t="s">
        <v>248</v>
      </c>
      <c r="D57" s="4" t="s">
        <v>265</v>
      </c>
      <c r="E57" s="4" t="s">
        <v>266</v>
      </c>
      <c r="F57" s="1"/>
      <c r="G57" s="1">
        <v>2</v>
      </c>
      <c r="H57" s="1">
        <v>9</v>
      </c>
      <c r="I57" s="9">
        <f t="shared" si="2"/>
        <v>11</v>
      </c>
      <c r="J57" s="6">
        <v>3.64</v>
      </c>
      <c r="K57" s="34" t="s">
        <v>267</v>
      </c>
      <c r="L57" s="7">
        <v>46045</v>
      </c>
      <c r="M57" s="1" t="s">
        <v>6</v>
      </c>
      <c r="N57" s="2">
        <v>46045</v>
      </c>
      <c r="O57" s="3">
        <f>NETWORKDAYS(L57,N57,[1]Holidays!$B$2:$B$16)</f>
        <v>1</v>
      </c>
      <c r="P57" s="1"/>
    </row>
    <row r="58" spans="1:16">
      <c r="A58" s="1" t="s">
        <v>268</v>
      </c>
      <c r="B58" s="1" t="s">
        <v>1</v>
      </c>
      <c r="C58" s="1" t="s">
        <v>76</v>
      </c>
      <c r="D58" s="4" t="s">
        <v>269</v>
      </c>
      <c r="E58" s="4" t="s">
        <v>270</v>
      </c>
      <c r="F58" s="1" t="s">
        <v>271</v>
      </c>
      <c r="G58" s="1">
        <v>8</v>
      </c>
      <c r="H58" s="1">
        <v>15</v>
      </c>
      <c r="I58" s="9">
        <f t="shared" si="2"/>
        <v>23</v>
      </c>
      <c r="J58" s="15">
        <v>3.36</v>
      </c>
      <c r="K58" s="34" t="s">
        <v>272</v>
      </c>
      <c r="L58" s="7">
        <v>46048</v>
      </c>
      <c r="M58" s="1" t="s">
        <v>6</v>
      </c>
      <c r="N58" s="2">
        <v>46051</v>
      </c>
      <c r="O58" s="3">
        <f>NETWORKDAYS(L58,N58,[1]Holidays!$B$2:$B$16)</f>
        <v>4</v>
      </c>
      <c r="P58" s="1"/>
    </row>
    <row r="59" spans="1:16">
      <c r="A59" s="1" t="s">
        <v>273</v>
      </c>
      <c r="B59" s="1" t="s">
        <v>1</v>
      </c>
      <c r="C59" s="1" t="s">
        <v>85</v>
      </c>
      <c r="D59" s="4" t="s">
        <v>274</v>
      </c>
      <c r="E59" s="4" t="s">
        <v>275</v>
      </c>
      <c r="F59" s="1"/>
      <c r="G59" s="1">
        <v>2</v>
      </c>
      <c r="H59" s="1">
        <v>18</v>
      </c>
      <c r="I59" s="9">
        <f t="shared" si="2"/>
        <v>20</v>
      </c>
      <c r="J59" s="15"/>
      <c r="K59" s="21"/>
      <c r="L59" s="7">
        <v>46048</v>
      </c>
      <c r="M59" s="1" t="s">
        <v>6</v>
      </c>
      <c r="N59" s="2">
        <v>46051</v>
      </c>
      <c r="O59" s="3">
        <f>NETWORKDAYS(L59,N59,[1]Holidays!$B$2:$B$16)</f>
        <v>4</v>
      </c>
      <c r="P59" s="1"/>
    </row>
    <row r="60" spans="1:16">
      <c r="A60" s="1" t="s">
        <v>276</v>
      </c>
      <c r="B60" s="1" t="s">
        <v>1</v>
      </c>
      <c r="C60" s="1" t="s">
        <v>277</v>
      </c>
      <c r="D60" s="4" t="s">
        <v>278</v>
      </c>
      <c r="E60" s="4" t="s">
        <v>279</v>
      </c>
      <c r="F60" s="1" t="s">
        <v>280</v>
      </c>
      <c r="G60" s="1">
        <v>3</v>
      </c>
      <c r="H60" s="1">
        <v>20</v>
      </c>
      <c r="I60" s="9">
        <f t="shared" si="2"/>
        <v>23</v>
      </c>
      <c r="J60" s="15">
        <v>3.73</v>
      </c>
      <c r="K60" s="34" t="s">
        <v>281</v>
      </c>
      <c r="L60" s="7">
        <v>46048</v>
      </c>
      <c r="M60" s="1" t="s">
        <v>6</v>
      </c>
      <c r="N60" s="2">
        <v>46051</v>
      </c>
      <c r="O60" s="3">
        <f>NETWORKDAYS(L60,N60,[1]Holidays!$B$2:$B$16)</f>
        <v>4</v>
      </c>
      <c r="P60" s="1"/>
    </row>
    <row r="61" spans="1:16">
      <c r="A61" s="1" t="s">
        <v>282</v>
      </c>
      <c r="B61" s="1" t="s">
        <v>1</v>
      </c>
      <c r="C61" s="1" t="s">
        <v>283</v>
      </c>
      <c r="D61" s="4" t="s">
        <v>284</v>
      </c>
      <c r="E61" s="4" t="s">
        <v>285</v>
      </c>
      <c r="F61" s="1"/>
      <c r="G61" s="1">
        <v>2</v>
      </c>
      <c r="H61" s="1">
        <v>17</v>
      </c>
      <c r="I61" s="9">
        <f t="shared" si="2"/>
        <v>19</v>
      </c>
      <c r="J61" s="15">
        <v>3.36</v>
      </c>
      <c r="K61" s="34" t="s">
        <v>286</v>
      </c>
      <c r="L61" s="7">
        <v>46048</v>
      </c>
      <c r="M61" s="1" t="s">
        <v>6</v>
      </c>
      <c r="N61" s="2">
        <v>46051</v>
      </c>
      <c r="O61" s="3">
        <f>NETWORKDAYS(L61,N61,[1]Holidays!$B$2:$B$16)</f>
        <v>4</v>
      </c>
      <c r="P61" s="1"/>
    </row>
    <row r="62" spans="1:16">
      <c r="A62" s="1" t="s">
        <v>287</v>
      </c>
      <c r="B62" s="1" t="s">
        <v>1</v>
      </c>
      <c r="C62" s="1" t="s">
        <v>40</v>
      </c>
      <c r="D62" s="4" t="s">
        <v>288</v>
      </c>
      <c r="E62" s="4" t="s">
        <v>289</v>
      </c>
      <c r="F62" s="1"/>
      <c r="G62" s="1">
        <v>2</v>
      </c>
      <c r="H62" s="1">
        <v>7</v>
      </c>
      <c r="I62" s="9">
        <f t="shared" si="2"/>
        <v>9</v>
      </c>
      <c r="J62" s="15">
        <v>3.55</v>
      </c>
      <c r="K62" s="34" t="s">
        <v>290</v>
      </c>
      <c r="L62" s="7">
        <v>46048</v>
      </c>
      <c r="M62" s="1" t="s">
        <v>6</v>
      </c>
      <c r="N62" s="2">
        <v>46051</v>
      </c>
      <c r="O62" s="3">
        <f>NETWORKDAYS(L62,N62,[1]Holidays!$B$2:$B$16)</f>
        <v>4</v>
      </c>
      <c r="P62" s="1" t="s">
        <v>291</v>
      </c>
    </row>
    <row r="63" spans="1:16">
      <c r="A63" s="1" t="s">
        <v>292</v>
      </c>
      <c r="B63" s="1" t="s">
        <v>1</v>
      </c>
      <c r="C63" s="1" t="s">
        <v>283</v>
      </c>
      <c r="D63" s="4" t="s">
        <v>293</v>
      </c>
      <c r="E63" s="4" t="s">
        <v>294</v>
      </c>
      <c r="F63" s="1"/>
      <c r="G63" s="1">
        <v>2</v>
      </c>
      <c r="H63" s="1">
        <v>7</v>
      </c>
      <c r="I63" s="9">
        <f t="shared" si="2"/>
        <v>9</v>
      </c>
      <c r="J63" s="15">
        <v>3.36</v>
      </c>
      <c r="K63" s="34" t="s">
        <v>295</v>
      </c>
      <c r="L63" s="7">
        <v>46048</v>
      </c>
      <c r="M63" s="1" t="s">
        <v>6</v>
      </c>
      <c r="N63" s="2">
        <v>46055</v>
      </c>
      <c r="O63" s="3">
        <f>NETWORKDAYS(L63,N63,[1]Holidays!$B$2:$B$16)</f>
        <v>6</v>
      </c>
      <c r="P63" s="1"/>
    </row>
    <row r="64" spans="1:16">
      <c r="A64" s="1" t="s">
        <v>296</v>
      </c>
      <c r="B64" s="1" t="s">
        <v>1</v>
      </c>
      <c r="C64" s="1" t="s">
        <v>154</v>
      </c>
      <c r="D64" s="4" t="s">
        <v>297</v>
      </c>
      <c r="E64" s="4" t="s">
        <v>298</v>
      </c>
      <c r="F64" s="1" t="s">
        <v>299</v>
      </c>
      <c r="G64" s="1">
        <v>0</v>
      </c>
      <c r="H64" s="1">
        <v>10</v>
      </c>
      <c r="I64" s="9">
        <f t="shared" si="2"/>
        <v>10</v>
      </c>
      <c r="J64" s="15">
        <v>3.73</v>
      </c>
      <c r="K64" s="35" t="s">
        <v>300</v>
      </c>
      <c r="L64" s="7">
        <v>46048</v>
      </c>
      <c r="M64" s="1" t="s">
        <v>6</v>
      </c>
      <c r="N64" s="2">
        <v>46055</v>
      </c>
      <c r="O64" s="3">
        <f>NETWORKDAYS(L64,N64,[1]Holidays!$B$2:$B$16)</f>
        <v>6</v>
      </c>
      <c r="P64" s="1"/>
    </row>
    <row r="65" spans="1:16">
      <c r="A65" s="1" t="s">
        <v>301</v>
      </c>
      <c r="B65" s="1" t="s">
        <v>1</v>
      </c>
      <c r="C65" s="1" t="s">
        <v>154</v>
      </c>
      <c r="D65" s="4" t="s">
        <v>297</v>
      </c>
      <c r="E65" s="4" t="s">
        <v>302</v>
      </c>
      <c r="F65" s="1" t="s">
        <v>299</v>
      </c>
      <c r="G65" s="1">
        <v>0</v>
      </c>
      <c r="H65" s="1">
        <v>10</v>
      </c>
      <c r="I65" s="9">
        <f t="shared" si="2"/>
        <v>10</v>
      </c>
      <c r="J65" s="15">
        <v>3.73</v>
      </c>
      <c r="K65" s="35" t="s">
        <v>300</v>
      </c>
      <c r="L65" s="7">
        <v>46048</v>
      </c>
      <c r="M65" s="1" t="s">
        <v>6</v>
      </c>
      <c r="N65" s="2">
        <v>46055</v>
      </c>
      <c r="O65" s="3">
        <f>NETWORKDAYS(L65,N65,[1]Holidays!$B$2:$B$16)</f>
        <v>6</v>
      </c>
      <c r="P65" s="1"/>
    </row>
    <row r="66" spans="1:16">
      <c r="A66" s="1" t="s">
        <v>303</v>
      </c>
      <c r="B66" s="1" t="s">
        <v>1</v>
      </c>
      <c r="C66" s="1" t="s">
        <v>154</v>
      </c>
      <c r="D66" s="4" t="s">
        <v>297</v>
      </c>
      <c r="E66" s="4" t="s">
        <v>298</v>
      </c>
      <c r="F66" s="1" t="s">
        <v>299</v>
      </c>
      <c r="G66" s="1">
        <v>3</v>
      </c>
      <c r="H66" s="1">
        <v>7</v>
      </c>
      <c r="I66" s="9">
        <f t="shared" si="2"/>
        <v>10</v>
      </c>
      <c r="J66" s="15">
        <v>3.73</v>
      </c>
      <c r="K66" s="35" t="s">
        <v>300</v>
      </c>
      <c r="L66" s="7">
        <v>46048</v>
      </c>
      <c r="M66" s="1" t="s">
        <v>6</v>
      </c>
      <c r="N66" s="2">
        <v>46052</v>
      </c>
      <c r="O66" s="3">
        <f>NETWORKDAYS(L66,N66,[1]Holidays!$B$2:$B$16)</f>
        <v>5</v>
      </c>
      <c r="P66" s="1"/>
    </row>
    <row r="67" spans="1:16">
      <c r="A67" s="1" t="s">
        <v>304</v>
      </c>
      <c r="B67" s="1" t="s">
        <v>1</v>
      </c>
      <c r="C67" s="1" t="s">
        <v>154</v>
      </c>
      <c r="D67" s="4" t="s">
        <v>297</v>
      </c>
      <c r="E67" s="4" t="s">
        <v>298</v>
      </c>
      <c r="F67" s="1" t="s">
        <v>299</v>
      </c>
      <c r="G67" s="1">
        <v>0</v>
      </c>
      <c r="H67" s="1">
        <v>10</v>
      </c>
      <c r="I67" s="9">
        <f t="shared" si="2"/>
        <v>10</v>
      </c>
      <c r="J67" s="15">
        <v>3.73</v>
      </c>
      <c r="K67" s="35" t="s">
        <v>300</v>
      </c>
      <c r="L67" s="7">
        <v>46048</v>
      </c>
      <c r="M67" s="1" t="s">
        <v>6</v>
      </c>
      <c r="N67" s="2">
        <v>46051</v>
      </c>
      <c r="O67" s="3">
        <f>NETWORKDAYS(L67,N67,[1]Holidays!$B$2:$B$16)</f>
        <v>4</v>
      </c>
      <c r="P67" s="1"/>
    </row>
    <row r="68" spans="1:16">
      <c r="A68" s="1" t="s">
        <v>305</v>
      </c>
      <c r="B68" s="1" t="s">
        <v>1</v>
      </c>
      <c r="C68" s="1" t="s">
        <v>154</v>
      </c>
      <c r="D68" s="4" t="s">
        <v>297</v>
      </c>
      <c r="E68" s="4" t="s">
        <v>302</v>
      </c>
      <c r="F68" s="1" t="s">
        <v>299</v>
      </c>
      <c r="G68" s="1">
        <v>0</v>
      </c>
      <c r="H68" s="1">
        <v>10</v>
      </c>
      <c r="I68" s="9">
        <f t="shared" si="2"/>
        <v>10</v>
      </c>
      <c r="J68" s="15">
        <v>3.73</v>
      </c>
      <c r="K68" s="35" t="s">
        <v>300</v>
      </c>
      <c r="L68" s="7">
        <v>46048</v>
      </c>
      <c r="M68" s="1" t="s">
        <v>6</v>
      </c>
      <c r="N68" s="2">
        <v>46052</v>
      </c>
      <c r="O68" s="3">
        <f>NETWORKDAYS(L68,N68,[1]Holidays!$B$2:$B$16)</f>
        <v>5</v>
      </c>
      <c r="P68" s="1"/>
    </row>
    <row r="69" spans="1:16">
      <c r="A69" s="1"/>
      <c r="B69" s="1"/>
      <c r="C69" s="1"/>
      <c r="D69" s="4"/>
      <c r="E69" s="4"/>
      <c r="F69" s="1"/>
      <c r="G69" s="1"/>
      <c r="H69" s="1"/>
      <c r="I69" s="9"/>
      <c r="J69" s="15"/>
      <c r="K69" s="35"/>
      <c r="L69" s="7"/>
      <c r="M69" s="1"/>
      <c r="N69" s="2"/>
      <c r="O69" s="3"/>
      <c r="P69" s="1"/>
    </row>
    <row r="70" spans="1:16">
      <c r="A70" s="1" t="s">
        <v>306</v>
      </c>
      <c r="B70" s="1" t="s">
        <v>1</v>
      </c>
      <c r="C70" s="1" t="s">
        <v>154</v>
      </c>
      <c r="D70" s="4" t="s">
        <v>297</v>
      </c>
      <c r="E70" s="4" t="s">
        <v>302</v>
      </c>
      <c r="F70" s="1" t="s">
        <v>299</v>
      </c>
      <c r="G70" s="1">
        <v>0</v>
      </c>
      <c r="H70" s="1">
        <v>10</v>
      </c>
      <c r="I70" s="9">
        <f t="shared" si="2"/>
        <v>10</v>
      </c>
      <c r="J70" s="15">
        <v>3.73</v>
      </c>
      <c r="K70" s="35" t="s">
        <v>300</v>
      </c>
      <c r="L70" s="7">
        <v>46048</v>
      </c>
      <c r="M70" s="1" t="s">
        <v>6</v>
      </c>
      <c r="N70" s="2">
        <v>46052</v>
      </c>
      <c r="O70" s="3">
        <f>NETWORKDAYS(L70,N70,[1]Holidays!$B$2:$B$16)</f>
        <v>5</v>
      </c>
      <c r="P70" s="1"/>
    </row>
    <row r="71" spans="1:16">
      <c r="A71" s="1" t="s">
        <v>307</v>
      </c>
      <c r="B71" s="1" t="s">
        <v>1</v>
      </c>
      <c r="C71" s="1" t="s">
        <v>154</v>
      </c>
      <c r="D71" s="4" t="s">
        <v>297</v>
      </c>
      <c r="E71" s="4" t="s">
        <v>298</v>
      </c>
      <c r="F71" s="1" t="s">
        <v>299</v>
      </c>
      <c r="G71" s="1">
        <v>1</v>
      </c>
      <c r="H71" s="1">
        <v>9</v>
      </c>
      <c r="I71" s="9">
        <f t="shared" si="2"/>
        <v>10</v>
      </c>
      <c r="J71" s="15">
        <v>3.73</v>
      </c>
      <c r="K71" s="35" t="s">
        <v>300</v>
      </c>
      <c r="L71" s="7">
        <v>46048</v>
      </c>
      <c r="M71" s="1" t="s">
        <v>6</v>
      </c>
      <c r="N71" s="2">
        <v>46051</v>
      </c>
      <c r="O71" s="3">
        <f>NETWORKDAYS(L71,N71,[1]Holidays!$B$2:$B$16)</f>
        <v>4</v>
      </c>
      <c r="P71" s="1"/>
    </row>
    <row r="72" spans="1:16">
      <c r="A72" s="1" t="s">
        <v>308</v>
      </c>
      <c r="B72" s="1" t="s">
        <v>1</v>
      </c>
      <c r="C72" s="1" t="s">
        <v>154</v>
      </c>
      <c r="D72" s="4" t="s">
        <v>297</v>
      </c>
      <c r="E72" s="4" t="s">
        <v>302</v>
      </c>
      <c r="F72" s="1" t="s">
        <v>299</v>
      </c>
      <c r="G72" s="1">
        <v>1</v>
      </c>
      <c r="H72" s="1">
        <v>9</v>
      </c>
      <c r="I72" s="9">
        <f t="shared" si="2"/>
        <v>10</v>
      </c>
      <c r="J72" s="15">
        <v>3.73</v>
      </c>
      <c r="K72" s="35" t="s">
        <v>300</v>
      </c>
      <c r="L72" s="7">
        <v>46048</v>
      </c>
      <c r="M72" s="1" t="s">
        <v>6</v>
      </c>
      <c r="N72" s="2">
        <v>46051</v>
      </c>
      <c r="O72" s="3">
        <f>NETWORKDAYS(L72,N72,[1]Holidays!$B$2:$B$16)</f>
        <v>4</v>
      </c>
      <c r="P72" s="1"/>
    </row>
    <row r="73" spans="1:16">
      <c r="A73" s="1" t="s">
        <v>309</v>
      </c>
      <c r="B73" s="1" t="s">
        <v>1</v>
      </c>
      <c r="C73" s="1" t="s">
        <v>14</v>
      </c>
      <c r="D73" s="4" t="s">
        <v>310</v>
      </c>
      <c r="E73" s="4" t="s">
        <v>202</v>
      </c>
      <c r="F73" s="1"/>
      <c r="G73" s="1">
        <v>0</v>
      </c>
      <c r="H73" s="1">
        <v>6</v>
      </c>
      <c r="I73" s="9">
        <f t="shared" si="2"/>
        <v>6</v>
      </c>
      <c r="J73" s="15"/>
      <c r="K73" s="1"/>
      <c r="L73" s="7">
        <v>46048</v>
      </c>
      <c r="M73" s="1" t="s">
        <v>6</v>
      </c>
      <c r="N73" s="2">
        <v>46051</v>
      </c>
      <c r="O73" s="3">
        <v>4</v>
      </c>
      <c r="P73" s="1"/>
    </row>
    <row r="74" spans="1:16">
      <c r="A74" s="1" t="s">
        <v>311</v>
      </c>
      <c r="B74" s="1" t="s">
        <v>1</v>
      </c>
      <c r="C74" s="1" t="s">
        <v>216</v>
      </c>
      <c r="D74" s="4" t="s">
        <v>312</v>
      </c>
      <c r="E74" s="4" t="s">
        <v>313</v>
      </c>
      <c r="F74" s="1"/>
      <c r="G74" s="1">
        <v>0</v>
      </c>
      <c r="H74" s="1">
        <v>11</v>
      </c>
      <c r="I74" s="9">
        <f t="shared" si="2"/>
        <v>11</v>
      </c>
      <c r="J74" s="6">
        <v>3.82</v>
      </c>
      <c r="K74" s="36" t="s">
        <v>314</v>
      </c>
      <c r="L74" s="7">
        <v>46048</v>
      </c>
      <c r="M74" s="1" t="s">
        <v>6</v>
      </c>
      <c r="N74" s="2">
        <v>46050</v>
      </c>
      <c r="O74" s="3">
        <f>NETWORKDAYS(L74,N74,[1]Holidays!$B$2:$B$16)</f>
        <v>3</v>
      </c>
      <c r="P74" s="1"/>
    </row>
    <row r="75" spans="1:16">
      <c r="A75" s="1" t="s">
        <v>315</v>
      </c>
      <c r="B75" s="1" t="s">
        <v>1</v>
      </c>
      <c r="C75" s="1" t="s">
        <v>50</v>
      </c>
      <c r="D75" s="4" t="s">
        <v>316</v>
      </c>
      <c r="E75" s="4" t="s">
        <v>317</v>
      </c>
      <c r="F75" s="4" t="s">
        <v>53</v>
      </c>
      <c r="G75" s="1">
        <v>3</v>
      </c>
      <c r="H75" s="1">
        <v>11</v>
      </c>
      <c r="I75" s="9">
        <f t="shared" si="2"/>
        <v>14</v>
      </c>
      <c r="J75" s="6">
        <v>3.91</v>
      </c>
      <c r="K75" s="36" t="s">
        <v>318</v>
      </c>
      <c r="L75" s="7">
        <v>46048</v>
      </c>
      <c r="M75" s="1" t="s">
        <v>6</v>
      </c>
      <c r="N75" s="2">
        <v>46051</v>
      </c>
      <c r="O75" s="3">
        <f>NETWORKDAYS(L75,N75,[1]Holidays!$B$2:$B$16)</f>
        <v>4</v>
      </c>
      <c r="P75" s="1" t="s">
        <v>69</v>
      </c>
    </row>
    <row r="76" spans="1:16">
      <c r="A76" s="1" t="s">
        <v>319</v>
      </c>
      <c r="B76" s="1" t="s">
        <v>1</v>
      </c>
      <c r="C76" s="1" t="s">
        <v>108</v>
      </c>
      <c r="D76" s="4" t="s">
        <v>320</v>
      </c>
      <c r="E76" s="4" t="s">
        <v>321</v>
      </c>
      <c r="F76" s="4" t="s">
        <v>322</v>
      </c>
      <c r="G76" s="1">
        <v>5</v>
      </c>
      <c r="H76" s="1">
        <v>8</v>
      </c>
      <c r="I76" s="9">
        <f t="shared" si="2"/>
        <v>13</v>
      </c>
      <c r="J76" s="15"/>
      <c r="K76" s="1"/>
      <c r="L76" s="7">
        <v>46048</v>
      </c>
      <c r="M76" s="1" t="s">
        <v>6</v>
      </c>
      <c r="N76" s="2">
        <v>46050</v>
      </c>
      <c r="O76" s="3">
        <f>NETWORKDAYS(L76,N76,[1]Holidays!$B$2:$B$16)</f>
        <v>3</v>
      </c>
      <c r="P76" s="1"/>
    </row>
    <row r="77" spans="1:16">
      <c r="A77" s="1" t="s">
        <v>323</v>
      </c>
      <c r="B77" s="1" t="s">
        <v>1</v>
      </c>
      <c r="C77" s="1" t="s">
        <v>14</v>
      </c>
      <c r="D77" s="4" t="s">
        <v>324</v>
      </c>
      <c r="E77" s="12" t="s">
        <v>325</v>
      </c>
      <c r="F77" s="1"/>
      <c r="G77" s="1">
        <v>1</v>
      </c>
      <c r="H77" s="1">
        <v>6</v>
      </c>
      <c r="I77" s="9">
        <f t="shared" si="2"/>
        <v>7</v>
      </c>
      <c r="J77" s="15"/>
      <c r="K77" s="12" t="s">
        <v>326</v>
      </c>
      <c r="L77" s="7">
        <v>46056</v>
      </c>
      <c r="M77" s="18" t="s">
        <v>6</v>
      </c>
      <c r="N77" s="2">
        <v>46058</v>
      </c>
      <c r="O77" s="3">
        <f>NETWORKDAYS(L77,N77,[1]Holidays!$B$2:$B$16)</f>
        <v>3</v>
      </c>
      <c r="P77" s="4" t="s">
        <v>230</v>
      </c>
    </row>
    <row r="78" spans="1:16">
      <c r="A78" s="1" t="s">
        <v>327</v>
      </c>
      <c r="B78" s="1" t="s">
        <v>254</v>
      </c>
      <c r="C78" s="1" t="s">
        <v>328</v>
      </c>
      <c r="D78" s="4" t="s">
        <v>329</v>
      </c>
      <c r="E78" s="11" t="s">
        <v>330</v>
      </c>
      <c r="F78" s="4" t="s">
        <v>331</v>
      </c>
      <c r="G78" s="1">
        <v>39</v>
      </c>
      <c r="H78" s="1">
        <v>144</v>
      </c>
      <c r="I78" s="9">
        <f t="shared" si="2"/>
        <v>183</v>
      </c>
      <c r="J78" s="15">
        <v>4</v>
      </c>
      <c r="K78" s="12" t="s">
        <v>332</v>
      </c>
      <c r="L78" s="7">
        <v>46056</v>
      </c>
      <c r="M78" s="1" t="s">
        <v>6</v>
      </c>
      <c r="N78" s="8">
        <v>46058</v>
      </c>
      <c r="O78" s="3">
        <v>4</v>
      </c>
      <c r="P78" s="1" t="s">
        <v>7</v>
      </c>
    </row>
    <row r="79" spans="1:16">
      <c r="A79" s="1" t="s">
        <v>333</v>
      </c>
      <c r="B79" s="1" t="s">
        <v>1</v>
      </c>
      <c r="C79" s="29" t="s">
        <v>14</v>
      </c>
      <c r="D79" s="4" t="s">
        <v>334</v>
      </c>
      <c r="E79" s="12" t="s">
        <v>335</v>
      </c>
      <c r="F79" s="33" t="s">
        <v>336</v>
      </c>
      <c r="G79" s="1">
        <v>3</v>
      </c>
      <c r="H79" s="1">
        <v>6</v>
      </c>
      <c r="I79" s="9">
        <f t="shared" si="2"/>
        <v>9</v>
      </c>
      <c r="J79" s="15">
        <v>4</v>
      </c>
      <c r="K79" s="12" t="s">
        <v>337</v>
      </c>
      <c r="L79" s="7">
        <v>46056</v>
      </c>
      <c r="M79" s="1" t="s">
        <v>6</v>
      </c>
      <c r="N79" s="2">
        <v>46058</v>
      </c>
      <c r="O79" s="3">
        <v>4</v>
      </c>
      <c r="P79" s="1" t="s">
        <v>338</v>
      </c>
    </row>
    <row r="80" spans="1:16">
      <c r="A80" s="1" t="s">
        <v>339</v>
      </c>
      <c r="B80" s="1" t="s">
        <v>1</v>
      </c>
      <c r="C80" s="29" t="s">
        <v>14</v>
      </c>
      <c r="D80" s="4" t="s">
        <v>340</v>
      </c>
      <c r="E80" s="12" t="s">
        <v>341</v>
      </c>
      <c r="F80" s="33" t="s">
        <v>342</v>
      </c>
      <c r="G80" s="1">
        <v>0</v>
      </c>
      <c r="H80" s="1">
        <v>6</v>
      </c>
      <c r="I80" s="9">
        <f t="shared" si="2"/>
        <v>6</v>
      </c>
      <c r="J80" s="15">
        <v>3.73</v>
      </c>
      <c r="K80" s="12" t="s">
        <v>343</v>
      </c>
      <c r="L80" s="7">
        <v>46056</v>
      </c>
      <c r="M80" s="1" t="s">
        <v>6</v>
      </c>
      <c r="N80" s="2">
        <v>46058</v>
      </c>
      <c r="O80" s="3">
        <v>4</v>
      </c>
      <c r="P80" s="1" t="s">
        <v>106</v>
      </c>
    </row>
    <row r="81" spans="1:16">
      <c r="A81" s="1" t="s">
        <v>344</v>
      </c>
      <c r="B81" s="1" t="s">
        <v>1</v>
      </c>
      <c r="C81" s="29" t="s">
        <v>14</v>
      </c>
      <c r="D81" s="4" t="s">
        <v>345</v>
      </c>
      <c r="E81" s="12" t="s">
        <v>346</v>
      </c>
      <c r="F81" s="33" t="s">
        <v>73</v>
      </c>
      <c r="G81" s="1">
        <v>4</v>
      </c>
      <c r="H81" s="1">
        <v>2</v>
      </c>
      <c r="I81" s="9">
        <f t="shared" si="2"/>
        <v>6</v>
      </c>
      <c r="J81" s="15">
        <v>4</v>
      </c>
      <c r="K81" s="12" t="s">
        <v>347</v>
      </c>
      <c r="L81" s="7">
        <v>46056</v>
      </c>
      <c r="M81" s="1" t="s">
        <v>6</v>
      </c>
      <c r="N81" s="2">
        <v>46058</v>
      </c>
      <c r="O81" s="3">
        <v>4</v>
      </c>
      <c r="P81" s="1" t="s">
        <v>106</v>
      </c>
    </row>
    <row r="82" spans="1:16">
      <c r="A82" s="1"/>
      <c r="B82" s="1"/>
      <c r="C82" s="29"/>
      <c r="D82" s="4"/>
      <c r="E82" s="12"/>
      <c r="F82" s="33"/>
      <c r="G82" s="1"/>
      <c r="H82" s="1"/>
      <c r="I82" s="9"/>
      <c r="J82" s="15"/>
      <c r="K82" s="12"/>
      <c r="L82" s="7"/>
      <c r="M82" s="1"/>
      <c r="N82" s="2"/>
      <c r="O82" s="3"/>
      <c r="P82" s="1"/>
    </row>
    <row r="83" spans="1:16">
      <c r="A83" s="1" t="s">
        <v>348</v>
      </c>
      <c r="B83" s="1" t="s">
        <v>1</v>
      </c>
      <c r="C83" s="29" t="s">
        <v>14</v>
      </c>
      <c r="D83" s="4" t="s">
        <v>345</v>
      </c>
      <c r="E83" s="12" t="s">
        <v>346</v>
      </c>
      <c r="F83" s="33" t="s">
        <v>73</v>
      </c>
      <c r="G83" s="1">
        <v>4</v>
      </c>
      <c r="H83" s="1">
        <v>2</v>
      </c>
      <c r="I83" s="9">
        <f t="shared" si="2"/>
        <v>6</v>
      </c>
      <c r="J83" s="15">
        <v>4</v>
      </c>
      <c r="K83" s="12" t="s">
        <v>347</v>
      </c>
      <c r="L83" s="7">
        <v>46056</v>
      </c>
      <c r="M83" s="1" t="s">
        <v>6</v>
      </c>
      <c r="N83" s="2">
        <v>46058</v>
      </c>
      <c r="O83" s="3">
        <v>4</v>
      </c>
      <c r="P83" s="1" t="s">
        <v>106</v>
      </c>
    </row>
    <row r="84" spans="1:16">
      <c r="A84" s="1" t="s">
        <v>349</v>
      </c>
      <c r="B84" s="1" t="s">
        <v>1</v>
      </c>
      <c r="C84" s="29" t="s">
        <v>154</v>
      </c>
      <c r="D84" s="4" t="s">
        <v>350</v>
      </c>
      <c r="E84" s="12" t="s">
        <v>351</v>
      </c>
      <c r="F84" s="33" t="s">
        <v>299</v>
      </c>
      <c r="G84" s="1">
        <v>7</v>
      </c>
      <c r="H84" s="1">
        <v>73</v>
      </c>
      <c r="I84" s="9">
        <f t="shared" si="2"/>
        <v>80</v>
      </c>
      <c r="J84" s="1">
        <v>3.64</v>
      </c>
      <c r="K84" s="12" t="s">
        <v>352</v>
      </c>
      <c r="L84" s="7">
        <v>46058</v>
      </c>
      <c r="M84" s="1" t="s">
        <v>6</v>
      </c>
      <c r="N84" s="2">
        <v>46058</v>
      </c>
      <c r="O84" s="3">
        <v>4</v>
      </c>
      <c r="P84" s="1"/>
    </row>
    <row r="85" spans="1:16">
      <c r="A85" s="1" t="s">
        <v>353</v>
      </c>
      <c r="B85" s="1" t="s">
        <v>254</v>
      </c>
      <c r="C85" s="1" t="s">
        <v>328</v>
      </c>
      <c r="D85" s="4" t="s">
        <v>329</v>
      </c>
      <c r="E85" s="11" t="s">
        <v>330</v>
      </c>
      <c r="F85" s="4" t="s">
        <v>331</v>
      </c>
      <c r="G85" s="4">
        <v>39</v>
      </c>
      <c r="H85" s="37">
        <v>144</v>
      </c>
      <c r="I85" s="9">
        <f t="shared" si="2"/>
        <v>183</v>
      </c>
      <c r="J85" s="1">
        <v>4</v>
      </c>
      <c r="K85" s="12" t="s">
        <v>332</v>
      </c>
      <c r="L85" s="7">
        <v>46056</v>
      </c>
      <c r="M85" s="1" t="s">
        <v>6</v>
      </c>
      <c r="N85" s="2">
        <v>46058</v>
      </c>
      <c r="O85" s="3">
        <f>NETWORKDAYS(L85,N85,[1]Holidays!$B$2:$B$16)</f>
        <v>3</v>
      </c>
      <c r="P85" s="1" t="s">
        <v>69</v>
      </c>
    </row>
    <row r="86" spans="1:16">
      <c r="A86" s="1" t="s">
        <v>354</v>
      </c>
      <c r="B86" s="1" t="s">
        <v>1</v>
      </c>
      <c r="C86" s="1" t="s">
        <v>101</v>
      </c>
      <c r="D86" s="4" t="s">
        <v>355</v>
      </c>
      <c r="E86" s="11" t="s">
        <v>356</v>
      </c>
      <c r="F86" s="4" t="s">
        <v>101</v>
      </c>
      <c r="G86" s="1">
        <v>7</v>
      </c>
      <c r="H86" s="1">
        <v>63</v>
      </c>
      <c r="I86" s="9">
        <f t="shared" si="2"/>
        <v>70</v>
      </c>
      <c r="J86" s="10">
        <v>3.78</v>
      </c>
      <c r="K86" s="12" t="s">
        <v>357</v>
      </c>
      <c r="L86" s="7">
        <v>46035</v>
      </c>
      <c r="M86" s="1" t="s">
        <v>6</v>
      </c>
      <c r="N86" s="2">
        <v>46037</v>
      </c>
      <c r="O86" s="3">
        <f>NETWORKDAYS(L86,N86,[1]Holidays!$B$2:$B$16)</f>
        <v>3</v>
      </c>
      <c r="P86" s="1" t="s">
        <v>358</v>
      </c>
    </row>
    <row r="87" spans="1:16">
      <c r="A87" s="1" t="s">
        <v>359</v>
      </c>
      <c r="B87" s="1" t="s">
        <v>1</v>
      </c>
      <c r="C87" s="1" t="s">
        <v>360</v>
      </c>
      <c r="D87" s="4" t="s">
        <v>361</v>
      </c>
      <c r="E87" s="4" t="s">
        <v>362</v>
      </c>
      <c r="F87" s="4" t="s">
        <v>363</v>
      </c>
      <c r="G87" s="1">
        <v>3</v>
      </c>
      <c r="H87" s="1">
        <v>25</v>
      </c>
      <c r="I87" s="9">
        <f t="shared" si="2"/>
        <v>28</v>
      </c>
      <c r="J87" s="10">
        <v>3.64</v>
      </c>
      <c r="K87" s="12" t="s">
        <v>364</v>
      </c>
      <c r="L87" s="7">
        <v>46062</v>
      </c>
      <c r="M87" s="1" t="s">
        <v>230</v>
      </c>
      <c r="N87" s="2">
        <v>46069</v>
      </c>
      <c r="O87" s="3">
        <f>NETWORKDAYS(L87,N87,[1]Holidays!$B$2:$B$16)</f>
        <v>6</v>
      </c>
      <c r="P87" s="1" t="s">
        <v>30</v>
      </c>
    </row>
    <row r="88" spans="1:16">
      <c r="A88" s="1" t="s">
        <v>365</v>
      </c>
      <c r="B88" s="1" t="s">
        <v>1</v>
      </c>
      <c r="C88" s="1" t="s">
        <v>366</v>
      </c>
      <c r="D88" s="4" t="s">
        <v>367</v>
      </c>
      <c r="E88" s="4" t="s">
        <v>341</v>
      </c>
      <c r="F88" s="4" t="s">
        <v>368</v>
      </c>
      <c r="G88" s="1">
        <v>4</v>
      </c>
      <c r="H88" s="1">
        <v>20</v>
      </c>
      <c r="I88" s="9">
        <f t="shared" si="2"/>
        <v>24</v>
      </c>
      <c r="J88" s="1">
        <v>4</v>
      </c>
      <c r="K88" s="12" t="s">
        <v>369</v>
      </c>
      <c r="L88" s="7">
        <v>46062</v>
      </c>
      <c r="M88" s="1" t="s">
        <v>230</v>
      </c>
      <c r="N88" s="2">
        <v>46069</v>
      </c>
      <c r="O88" s="3">
        <f>NETWORKDAYS(L88,N88,[1]Holidays!$B$2:$B$16)</f>
        <v>6</v>
      </c>
      <c r="P88" s="1" t="s">
        <v>30</v>
      </c>
    </row>
    <row r="89" spans="1:16">
      <c r="A89" s="1" t="s">
        <v>370</v>
      </c>
      <c r="B89" s="1" t="s">
        <v>1</v>
      </c>
      <c r="C89" s="1" t="s">
        <v>371</v>
      </c>
      <c r="D89" s="4" t="s">
        <v>372</v>
      </c>
      <c r="E89" s="4" t="s">
        <v>373</v>
      </c>
      <c r="F89" s="4" t="s">
        <v>262</v>
      </c>
      <c r="G89" s="1">
        <v>5</v>
      </c>
      <c r="H89" s="1">
        <v>4</v>
      </c>
      <c r="I89" s="9">
        <f t="shared" si="2"/>
        <v>9</v>
      </c>
      <c r="J89" s="1">
        <v>3.55</v>
      </c>
      <c r="K89" s="12" t="s">
        <v>374</v>
      </c>
      <c r="L89" s="7">
        <v>46062</v>
      </c>
      <c r="M89" s="1" t="s">
        <v>6</v>
      </c>
      <c r="N89" s="2">
        <v>46069</v>
      </c>
      <c r="O89" s="3">
        <f>NETWORKDAYS(L89,N89,[1]Holidays!$B$2:$B$16)</f>
        <v>6</v>
      </c>
      <c r="P89" s="1" t="s">
        <v>30</v>
      </c>
    </row>
    <row r="90" spans="1:16">
      <c r="A90" s="1" t="s">
        <v>375</v>
      </c>
      <c r="B90" s="1" t="s">
        <v>1</v>
      </c>
      <c r="C90" s="1" t="s">
        <v>277</v>
      </c>
      <c r="D90" s="4" t="s">
        <v>376</v>
      </c>
      <c r="E90" s="4" t="s">
        <v>377</v>
      </c>
      <c r="F90" s="4" t="s">
        <v>378</v>
      </c>
      <c r="G90" s="1">
        <v>4</v>
      </c>
      <c r="H90" s="1">
        <v>23</v>
      </c>
      <c r="I90" s="9">
        <f t="shared" si="2"/>
        <v>27</v>
      </c>
      <c r="J90" s="1">
        <v>3.91</v>
      </c>
      <c r="K90" s="12" t="s">
        <v>379</v>
      </c>
      <c r="L90" s="7">
        <v>46062</v>
      </c>
      <c r="M90" s="1" t="s">
        <v>380</v>
      </c>
      <c r="N90" s="2">
        <v>46071</v>
      </c>
      <c r="O90" s="3">
        <f>NETWORKDAYS(L90,N90,[1]Holidays!$B$2:$B$16)</f>
        <v>8</v>
      </c>
      <c r="P90" s="1" t="s">
        <v>381</v>
      </c>
    </row>
    <row r="91" spans="1:16">
      <c r="A91" s="1" t="s">
        <v>382</v>
      </c>
      <c r="B91" s="1" t="s">
        <v>1</v>
      </c>
      <c r="C91" s="1" t="s">
        <v>163</v>
      </c>
      <c r="D91" s="4" t="s">
        <v>383</v>
      </c>
      <c r="E91" s="4" t="s">
        <v>384</v>
      </c>
      <c r="F91" s="4" t="s">
        <v>385</v>
      </c>
      <c r="G91" s="1">
        <v>9</v>
      </c>
      <c r="H91" s="1">
        <v>20</v>
      </c>
      <c r="I91" s="9">
        <f t="shared" si="2"/>
        <v>29</v>
      </c>
      <c r="J91" s="1">
        <v>3.64</v>
      </c>
      <c r="K91" s="38" t="s">
        <v>386</v>
      </c>
      <c r="L91" s="7">
        <v>46062</v>
      </c>
      <c r="M91" s="18" t="s">
        <v>230</v>
      </c>
      <c r="N91" s="2">
        <v>46069</v>
      </c>
      <c r="O91" s="3">
        <f>NETWORKDAYS(L91,N91,[1]Holidays!$B$2:$B$16)</f>
        <v>6</v>
      </c>
      <c r="P91" s="1" t="s">
        <v>387</v>
      </c>
    </row>
    <row r="92" spans="1:16">
      <c r="A92" s="1" t="s">
        <v>388</v>
      </c>
      <c r="B92" s="1" t="s">
        <v>1</v>
      </c>
      <c r="C92" s="1" t="s">
        <v>389</v>
      </c>
      <c r="D92" s="29" t="s">
        <v>390</v>
      </c>
      <c r="E92" s="39" t="s">
        <v>391</v>
      </c>
      <c r="F92" s="1" t="s">
        <v>392</v>
      </c>
      <c r="G92" s="1">
        <v>5</v>
      </c>
      <c r="H92" s="1">
        <v>11</v>
      </c>
      <c r="I92" s="9">
        <f t="shared" si="2"/>
        <v>16</v>
      </c>
      <c r="J92" s="1">
        <v>3.64</v>
      </c>
      <c r="K92" s="26" t="s">
        <v>393</v>
      </c>
      <c r="L92" s="7">
        <v>46063</v>
      </c>
      <c r="M92" s="1" t="s">
        <v>6</v>
      </c>
      <c r="N92" s="2">
        <v>46069</v>
      </c>
      <c r="O92" s="3">
        <f>NETWORKDAYS(L92,N92,[1]Holidays!$B$2:$B$16)</f>
        <v>5</v>
      </c>
      <c r="P92" s="1" t="s">
        <v>7</v>
      </c>
    </row>
    <row r="93" spans="1:16">
      <c r="A93" s="1" t="s">
        <v>394</v>
      </c>
      <c r="B93" s="1" t="s">
        <v>1</v>
      </c>
      <c r="C93" s="1" t="s">
        <v>395</v>
      </c>
      <c r="D93" s="1" t="s">
        <v>396</v>
      </c>
      <c r="E93" s="39" t="s">
        <v>397</v>
      </c>
      <c r="F93" s="1" t="s">
        <v>398</v>
      </c>
      <c r="G93" s="1">
        <v>4</v>
      </c>
      <c r="H93" s="1">
        <v>28</v>
      </c>
      <c r="I93" s="9">
        <f t="shared" si="2"/>
        <v>32</v>
      </c>
      <c r="J93" s="1">
        <v>2.73</v>
      </c>
      <c r="K93" s="21" t="s">
        <v>399</v>
      </c>
      <c r="L93" s="2">
        <v>46063</v>
      </c>
      <c r="M93" s="1" t="s">
        <v>230</v>
      </c>
      <c r="N93" s="2">
        <v>46069</v>
      </c>
      <c r="O93" s="3">
        <f>NETWORKDAYS(L93,N93,[1]Holidays!$B$2:$B$16)</f>
        <v>5</v>
      </c>
      <c r="P93" s="1" t="s">
        <v>7</v>
      </c>
    </row>
    <row r="94" spans="1:16">
      <c r="A94" s="1" t="s">
        <v>400</v>
      </c>
      <c r="B94" s="1" t="s">
        <v>1</v>
      </c>
      <c r="C94" s="1" t="s">
        <v>149</v>
      </c>
      <c r="D94" s="1" t="s">
        <v>401</v>
      </c>
      <c r="E94" s="39" t="s">
        <v>402</v>
      </c>
      <c r="F94" s="1" t="s">
        <v>403</v>
      </c>
      <c r="G94" s="1">
        <v>3</v>
      </c>
      <c r="H94" s="1">
        <v>10</v>
      </c>
      <c r="I94" s="9">
        <f t="shared" si="2"/>
        <v>13</v>
      </c>
      <c r="J94" s="1">
        <v>3.91</v>
      </c>
      <c r="K94" s="39" t="s">
        <v>404</v>
      </c>
      <c r="L94" s="2">
        <v>46063</v>
      </c>
      <c r="M94" s="1" t="s">
        <v>230</v>
      </c>
      <c r="N94" s="2">
        <v>46069</v>
      </c>
      <c r="O94" s="3">
        <f>NETWORKDAYS(L94,N94,[1]Holidays!$B$2:$B$16)</f>
        <v>5</v>
      </c>
      <c r="P94" s="1" t="s">
        <v>405</v>
      </c>
    </row>
    <row r="95" spans="1:16">
      <c r="A95" s="1" t="s">
        <v>406</v>
      </c>
      <c r="B95" s="1"/>
      <c r="C95" s="1" t="s">
        <v>163</v>
      </c>
      <c r="D95" s="1" t="s">
        <v>407</v>
      </c>
      <c r="E95" s="39" t="s">
        <v>408</v>
      </c>
      <c r="F95" s="1"/>
      <c r="G95" s="21"/>
      <c r="H95" s="21"/>
      <c r="I95" s="9">
        <f t="shared" si="2"/>
        <v>0</v>
      </c>
      <c r="J95" s="1">
        <v>3.09</v>
      </c>
      <c r="K95" s="21" t="s">
        <v>409</v>
      </c>
      <c r="L95" s="2">
        <v>46063</v>
      </c>
      <c r="M95" s="1" t="s">
        <v>230</v>
      </c>
      <c r="N95" s="2">
        <v>46069</v>
      </c>
      <c r="O95" s="3">
        <f>NETWORKDAYS(L95,N95,[1]Holidays!$B$2:$B$16)</f>
        <v>5</v>
      </c>
      <c r="P95" s="1" t="s">
        <v>410</v>
      </c>
    </row>
    <row r="96" spans="1:16">
      <c r="A96" s="1" t="s">
        <v>411</v>
      </c>
      <c r="B96" s="1" t="s">
        <v>1</v>
      </c>
      <c r="C96" s="1" t="s">
        <v>175</v>
      </c>
      <c r="D96" s="1" t="s">
        <v>412</v>
      </c>
      <c r="E96" s="39" t="s">
        <v>402</v>
      </c>
      <c r="F96" s="1" t="s">
        <v>413</v>
      </c>
      <c r="G96" s="1">
        <v>1</v>
      </c>
      <c r="H96" s="1">
        <v>9</v>
      </c>
      <c r="I96" s="9">
        <f t="shared" si="2"/>
        <v>10</v>
      </c>
      <c r="J96" s="1">
        <v>3.64</v>
      </c>
      <c r="K96" s="18" t="s">
        <v>414</v>
      </c>
      <c r="L96" s="2">
        <v>46063</v>
      </c>
      <c r="M96" s="1" t="s">
        <v>230</v>
      </c>
      <c r="N96" s="2">
        <v>46069</v>
      </c>
      <c r="O96" s="3">
        <f>NETWORKDAYS(L96,N96,[1]Holidays!$B$2:$B$16)</f>
        <v>5</v>
      </c>
      <c r="P96" s="1" t="s">
        <v>415</v>
      </c>
    </row>
    <row r="97" spans="1:16">
      <c r="A97" s="1" t="s">
        <v>416</v>
      </c>
      <c r="B97" s="1" t="s">
        <v>1</v>
      </c>
      <c r="C97" s="1" t="s">
        <v>175</v>
      </c>
      <c r="D97" s="1" t="s">
        <v>417</v>
      </c>
      <c r="E97" s="1" t="s">
        <v>418</v>
      </c>
      <c r="F97" s="1" t="s">
        <v>419</v>
      </c>
      <c r="G97" s="1">
        <v>1</v>
      </c>
      <c r="H97" s="1">
        <v>9</v>
      </c>
      <c r="I97" s="9">
        <f t="shared" si="2"/>
        <v>10</v>
      </c>
      <c r="J97" s="1">
        <v>3.64</v>
      </c>
      <c r="K97" s="18" t="s">
        <v>420</v>
      </c>
      <c r="L97" s="2">
        <v>46063</v>
      </c>
      <c r="M97" s="1" t="s">
        <v>6</v>
      </c>
      <c r="N97" s="2">
        <v>46069</v>
      </c>
      <c r="O97" s="3">
        <f>NETWORKDAYS(L97,N97,[1]Holidays!$B$2:$B$16)</f>
        <v>5</v>
      </c>
      <c r="P97" s="1" t="s">
        <v>415</v>
      </c>
    </row>
    <row r="98" spans="1:16">
      <c r="A98" s="1" t="s">
        <v>421</v>
      </c>
      <c r="B98" s="1" t="s">
        <v>1</v>
      </c>
      <c r="C98" s="1" t="s">
        <v>175</v>
      </c>
      <c r="D98" s="1" t="s">
        <v>422</v>
      </c>
      <c r="E98" s="1" t="s">
        <v>423</v>
      </c>
      <c r="F98" s="1" t="s">
        <v>424</v>
      </c>
      <c r="G98" s="1">
        <v>0</v>
      </c>
      <c r="H98" s="1">
        <v>10</v>
      </c>
      <c r="I98" s="9">
        <f t="shared" si="2"/>
        <v>10</v>
      </c>
      <c r="J98" s="1">
        <v>3.55</v>
      </c>
      <c r="K98" s="1" t="s">
        <v>425</v>
      </c>
      <c r="L98" s="2">
        <v>46063</v>
      </c>
      <c r="M98" s="1" t="s">
        <v>6</v>
      </c>
      <c r="N98" s="2">
        <v>46069</v>
      </c>
      <c r="O98" s="3">
        <f>NETWORKDAYS(L98,N98,[1]Holidays!$B$2:$B$16)</f>
        <v>5</v>
      </c>
      <c r="P98" s="1" t="s">
        <v>405</v>
      </c>
    </row>
    <row r="99" spans="1:16">
      <c r="A99" s="1" t="s">
        <v>426</v>
      </c>
      <c r="B99" s="1" t="s">
        <v>1</v>
      </c>
      <c r="C99" s="1" t="s">
        <v>175</v>
      </c>
      <c r="D99" s="1" t="s">
        <v>427</v>
      </c>
      <c r="E99" s="39" t="s">
        <v>202</v>
      </c>
      <c r="F99" s="1" t="s">
        <v>424</v>
      </c>
      <c r="G99" s="21"/>
      <c r="H99" s="21"/>
      <c r="I99" s="9">
        <f t="shared" si="2"/>
        <v>0</v>
      </c>
      <c r="J99" s="1">
        <v>3.55</v>
      </c>
      <c r="K99" s="1" t="s">
        <v>428</v>
      </c>
      <c r="L99" s="2">
        <v>46063</v>
      </c>
      <c r="M99" s="1" t="s">
        <v>6</v>
      </c>
      <c r="N99" s="2">
        <v>46069</v>
      </c>
      <c r="O99" s="3">
        <f>NETWORKDAYS(L99,N99,[1]Holidays!$B$2:$B$16)</f>
        <v>5</v>
      </c>
      <c r="P99" s="1" t="s">
        <v>405</v>
      </c>
    </row>
    <row r="100" spans="1:16">
      <c r="A100" s="1" t="s">
        <v>429</v>
      </c>
      <c r="B100" s="1" t="s">
        <v>1</v>
      </c>
      <c r="C100" s="1" t="s">
        <v>175</v>
      </c>
      <c r="D100" s="1" t="s">
        <v>430</v>
      </c>
      <c r="E100" s="40" t="s">
        <v>402</v>
      </c>
      <c r="F100" s="1" t="s">
        <v>431</v>
      </c>
      <c r="G100" s="1">
        <v>0</v>
      </c>
      <c r="H100" s="1">
        <v>10</v>
      </c>
      <c r="I100" s="9">
        <f t="shared" si="2"/>
        <v>10</v>
      </c>
      <c r="J100" s="1">
        <v>3.64</v>
      </c>
      <c r="K100" s="21" t="s">
        <v>432</v>
      </c>
      <c r="L100" s="2">
        <v>46063</v>
      </c>
      <c r="M100" s="1" t="s">
        <v>6</v>
      </c>
      <c r="N100" s="2">
        <v>46069</v>
      </c>
      <c r="O100" s="3">
        <f>NETWORKDAYS(L100,N100,[1]Holidays!$B$2:$B$16)</f>
        <v>5</v>
      </c>
      <c r="P100" s="1" t="s">
        <v>405</v>
      </c>
    </row>
    <row r="101" spans="1:16">
      <c r="A101" s="1" t="s">
        <v>433</v>
      </c>
      <c r="B101" s="1" t="s">
        <v>1</v>
      </c>
      <c r="C101" s="1" t="s">
        <v>175</v>
      </c>
      <c r="D101" s="1" t="s">
        <v>434</v>
      </c>
      <c r="E101" s="39" t="s">
        <v>435</v>
      </c>
      <c r="F101" s="1" t="s">
        <v>413</v>
      </c>
      <c r="G101" s="1">
        <v>1</v>
      </c>
      <c r="H101" s="1">
        <v>9</v>
      </c>
      <c r="I101" s="9">
        <f t="shared" si="2"/>
        <v>10</v>
      </c>
      <c r="J101" s="1">
        <v>3.64</v>
      </c>
      <c r="K101" s="1" t="s">
        <v>436</v>
      </c>
      <c r="L101" s="2">
        <v>46063</v>
      </c>
      <c r="M101" s="1" t="s">
        <v>6</v>
      </c>
      <c r="N101" s="2">
        <v>46069</v>
      </c>
      <c r="O101" s="3">
        <f>NETWORKDAYS(L101,N101,[1]Holidays!$B$2:$B$16)</f>
        <v>5</v>
      </c>
      <c r="P101" s="1" t="s">
        <v>405</v>
      </c>
    </row>
    <row r="102" spans="1:16">
      <c r="A102" s="1" t="s">
        <v>437</v>
      </c>
      <c r="B102" s="1" t="s">
        <v>1</v>
      </c>
      <c r="C102" s="1" t="s">
        <v>175</v>
      </c>
      <c r="D102" s="1" t="s">
        <v>438</v>
      </c>
      <c r="E102" s="39" t="s">
        <v>439</v>
      </c>
      <c r="F102" s="1" t="s">
        <v>440</v>
      </c>
      <c r="G102" s="1">
        <v>10</v>
      </c>
      <c r="H102" s="1">
        <v>19</v>
      </c>
      <c r="I102" s="9">
        <f t="shared" si="2"/>
        <v>29</v>
      </c>
      <c r="J102" s="1">
        <v>3.64</v>
      </c>
      <c r="K102" s="1" t="s">
        <v>441</v>
      </c>
      <c r="L102" s="2">
        <v>46063</v>
      </c>
      <c r="M102" s="1" t="s">
        <v>6</v>
      </c>
      <c r="N102" s="2">
        <v>46069</v>
      </c>
      <c r="O102" s="3">
        <f>NETWORKDAYS(L102,N102,[1]Holidays!$B$2:$B$16)</f>
        <v>5</v>
      </c>
      <c r="P102" s="1" t="s">
        <v>405</v>
      </c>
    </row>
    <row r="103" spans="1:16">
      <c r="A103" s="1" t="s">
        <v>442</v>
      </c>
      <c r="B103" s="1" t="s">
        <v>1</v>
      </c>
      <c r="C103" s="1" t="s">
        <v>175</v>
      </c>
      <c r="D103" s="1" t="s">
        <v>443</v>
      </c>
      <c r="E103" s="39" t="s">
        <v>444</v>
      </c>
      <c r="F103" s="1" t="s">
        <v>413</v>
      </c>
      <c r="G103" s="1">
        <v>0</v>
      </c>
      <c r="H103" s="1">
        <v>9</v>
      </c>
      <c r="I103" s="9">
        <f t="shared" si="2"/>
        <v>9</v>
      </c>
      <c r="J103" s="1">
        <v>3.64</v>
      </c>
      <c r="K103" s="41" t="s">
        <v>445</v>
      </c>
      <c r="L103" s="2">
        <v>46063</v>
      </c>
      <c r="M103" s="1" t="s">
        <v>6</v>
      </c>
      <c r="N103" s="2">
        <v>46069</v>
      </c>
      <c r="O103" s="3">
        <f>NETWORKDAYS(L103,N103,[1]Holidays!$B$2:$B$16)</f>
        <v>5</v>
      </c>
      <c r="P103" s="1" t="s">
        <v>405</v>
      </c>
    </row>
    <row r="104" spans="1:16">
      <c r="A104" s="1" t="s">
        <v>446</v>
      </c>
      <c r="B104" s="1" t="s">
        <v>1</v>
      </c>
      <c r="C104" s="1" t="s">
        <v>149</v>
      </c>
      <c r="D104" s="1" t="s">
        <v>447</v>
      </c>
      <c r="E104" s="1" t="s">
        <v>351</v>
      </c>
      <c r="F104" s="1" t="s">
        <v>448</v>
      </c>
      <c r="G104" s="1">
        <v>2</v>
      </c>
      <c r="H104" s="1">
        <v>11</v>
      </c>
      <c r="I104" s="9">
        <f t="shared" si="2"/>
        <v>13</v>
      </c>
      <c r="J104" s="1"/>
      <c r="K104" s="42" t="s">
        <v>449</v>
      </c>
      <c r="L104" s="2">
        <v>46064</v>
      </c>
      <c r="M104" s="1" t="s">
        <v>6</v>
      </c>
      <c r="N104" s="2">
        <v>46066</v>
      </c>
      <c r="O104" s="3">
        <f>NETWORKDAYS(L104,N104,[1]Holidays!$B$2:$B$16)</f>
        <v>3</v>
      </c>
      <c r="P104" s="1" t="s">
        <v>405</v>
      </c>
    </row>
    <row r="105" spans="1:16">
      <c r="A105" s="1" t="s">
        <v>450</v>
      </c>
      <c r="B105" s="1" t="s">
        <v>1</v>
      </c>
      <c r="C105" s="1" t="s">
        <v>451</v>
      </c>
      <c r="D105" s="1" t="s">
        <v>452</v>
      </c>
      <c r="E105" s="39" t="s">
        <v>330</v>
      </c>
      <c r="F105" s="1" t="s">
        <v>453</v>
      </c>
      <c r="G105" s="1">
        <v>6</v>
      </c>
      <c r="H105" s="1">
        <v>13</v>
      </c>
      <c r="I105" s="9">
        <f t="shared" si="2"/>
        <v>19</v>
      </c>
      <c r="J105" s="1">
        <v>3.73</v>
      </c>
      <c r="K105" s="35" t="s">
        <v>454</v>
      </c>
      <c r="L105" s="2">
        <v>46064</v>
      </c>
      <c r="M105" s="1" t="s">
        <v>230</v>
      </c>
      <c r="N105" s="2">
        <v>46069</v>
      </c>
      <c r="O105" s="3">
        <f>NETWORKDAYS(L105,N105,[1]Holidays!$B$2:$B$16)</f>
        <v>4</v>
      </c>
      <c r="P105" s="1" t="s">
        <v>7</v>
      </c>
    </row>
    <row r="106" spans="1:16">
      <c r="A106" s="1" t="s">
        <v>455</v>
      </c>
      <c r="B106" s="1" t="s">
        <v>1</v>
      </c>
      <c r="C106" s="1" t="s">
        <v>163</v>
      </c>
      <c r="D106" s="1" t="s">
        <v>456</v>
      </c>
      <c r="E106" s="39" t="s">
        <v>457</v>
      </c>
      <c r="F106" s="1" t="s">
        <v>458</v>
      </c>
      <c r="G106" s="1">
        <v>4</v>
      </c>
      <c r="H106" s="1">
        <v>18</v>
      </c>
      <c r="I106" s="9">
        <f t="shared" si="2"/>
        <v>22</v>
      </c>
      <c r="J106" s="1">
        <v>3.73</v>
      </c>
      <c r="K106" s="35" t="s">
        <v>459</v>
      </c>
      <c r="L106" s="2">
        <v>46064</v>
      </c>
      <c r="M106" s="1" t="s">
        <v>6</v>
      </c>
      <c r="N106" s="2">
        <v>46069</v>
      </c>
      <c r="O106" s="3">
        <f>NETWORKDAYS(L106,N106,[1]Holidays!$B$2:$B$16)</f>
        <v>4</v>
      </c>
      <c r="P106" s="1" t="s">
        <v>7</v>
      </c>
    </row>
    <row r="107" spans="1:16">
      <c r="A107" s="1" t="s">
        <v>460</v>
      </c>
      <c r="B107" s="1" t="s">
        <v>1</v>
      </c>
      <c r="C107" s="1" t="s">
        <v>40</v>
      </c>
      <c r="D107" s="1" t="s">
        <v>461</v>
      </c>
      <c r="E107" s="39" t="s">
        <v>444</v>
      </c>
      <c r="F107" s="1" t="s">
        <v>251</v>
      </c>
      <c r="G107" s="1">
        <v>2</v>
      </c>
      <c r="H107" s="1">
        <v>7</v>
      </c>
      <c r="I107" s="9">
        <f t="shared" si="2"/>
        <v>9</v>
      </c>
      <c r="J107" s="1">
        <v>3.64</v>
      </c>
      <c r="K107" s="35" t="s">
        <v>462</v>
      </c>
      <c r="L107" s="2">
        <v>46064</v>
      </c>
      <c r="M107" s="1" t="s">
        <v>6</v>
      </c>
      <c r="N107" s="2">
        <v>46069</v>
      </c>
      <c r="O107" s="3">
        <f>NETWORKDAYS(L107,N107,[1]Holidays!$B$2:$B$16)</f>
        <v>4</v>
      </c>
      <c r="P107" s="1" t="s">
        <v>463</v>
      </c>
    </row>
    <row r="108" spans="1:16">
      <c r="A108" s="1" t="s">
        <v>464</v>
      </c>
      <c r="B108" s="1" t="s">
        <v>1</v>
      </c>
      <c r="C108" s="1" t="s">
        <v>465</v>
      </c>
      <c r="D108" s="1" t="s">
        <v>466</v>
      </c>
      <c r="E108" s="39" t="s">
        <v>467</v>
      </c>
      <c r="F108" s="1" t="s">
        <v>251</v>
      </c>
      <c r="G108" s="1">
        <v>4</v>
      </c>
      <c r="H108" s="1">
        <v>50</v>
      </c>
      <c r="I108" s="9">
        <f t="shared" si="2"/>
        <v>54</v>
      </c>
      <c r="J108" s="1">
        <v>3.55</v>
      </c>
      <c r="K108" s="42" t="s">
        <v>468</v>
      </c>
      <c r="L108" s="2">
        <v>46064</v>
      </c>
      <c r="M108" s="1" t="s">
        <v>230</v>
      </c>
      <c r="N108" s="2">
        <v>46071</v>
      </c>
      <c r="O108" s="3">
        <f>NETWORKDAYS(L108,N108,[1]Holidays!$B$2:$B$16)</f>
        <v>6</v>
      </c>
      <c r="P108" s="1"/>
    </row>
    <row r="109" spans="1:16">
      <c r="A109" s="1" t="s">
        <v>469</v>
      </c>
      <c r="B109" s="1" t="s">
        <v>1</v>
      </c>
      <c r="C109" s="1" t="s">
        <v>2</v>
      </c>
      <c r="D109" s="1" t="s">
        <v>470</v>
      </c>
      <c r="E109" s="39" t="s">
        <v>471</v>
      </c>
      <c r="F109" s="1"/>
      <c r="G109" s="1">
        <v>12</v>
      </c>
      <c r="H109" s="1">
        <v>4</v>
      </c>
      <c r="I109" s="9">
        <f t="shared" si="2"/>
        <v>16</v>
      </c>
      <c r="J109" s="1">
        <v>3.55</v>
      </c>
      <c r="K109" s="42" t="s">
        <v>472</v>
      </c>
      <c r="L109" s="2">
        <v>46064</v>
      </c>
      <c r="M109" s="1" t="s">
        <v>230</v>
      </c>
      <c r="N109" s="2">
        <v>46069</v>
      </c>
      <c r="O109" s="3">
        <f>NETWORKDAYS(L109,N109,[1]Holidays!$B$2:$B$16)</f>
        <v>4</v>
      </c>
      <c r="P109" s="1" t="s">
        <v>473</v>
      </c>
    </row>
    <row r="110" spans="1:16">
      <c r="A110" s="1" t="s">
        <v>474</v>
      </c>
      <c r="B110" s="1" t="s">
        <v>1</v>
      </c>
      <c r="C110" s="1" t="s">
        <v>451</v>
      </c>
      <c r="D110" s="1" t="s">
        <v>475</v>
      </c>
      <c r="E110" s="39" t="s">
        <v>476</v>
      </c>
      <c r="F110" s="1" t="s">
        <v>477</v>
      </c>
      <c r="G110" s="1">
        <v>20</v>
      </c>
      <c r="H110" s="1">
        <v>55</v>
      </c>
      <c r="I110" s="9">
        <f t="shared" si="2"/>
        <v>75</v>
      </c>
      <c r="J110" s="1">
        <v>3.73</v>
      </c>
      <c r="K110" s="41" t="s">
        <v>478</v>
      </c>
      <c r="L110" s="2">
        <v>46064</v>
      </c>
      <c r="M110" s="1" t="s">
        <v>230</v>
      </c>
      <c r="N110" s="2">
        <v>46069</v>
      </c>
      <c r="O110" s="3">
        <f>NETWORKDAYS(L110,N110,[1]Holidays!$B$2:$B$16)</f>
        <v>4</v>
      </c>
      <c r="P110" s="1" t="s">
        <v>7</v>
      </c>
    </row>
    <row r="111" spans="1:16">
      <c r="A111" s="1" t="s">
        <v>479</v>
      </c>
      <c r="B111" s="1" t="s">
        <v>1</v>
      </c>
      <c r="C111" s="1" t="s">
        <v>90</v>
      </c>
      <c r="D111" s="39" t="s">
        <v>480</v>
      </c>
      <c r="E111" s="1" t="s">
        <v>481</v>
      </c>
      <c r="F111" s="1" t="s">
        <v>482</v>
      </c>
      <c r="G111" s="1">
        <v>3</v>
      </c>
      <c r="H111" s="1">
        <v>62</v>
      </c>
      <c r="I111" s="9">
        <f t="shared" si="2"/>
        <v>65</v>
      </c>
      <c r="J111" s="1">
        <v>3.73</v>
      </c>
      <c r="K111" s="21" t="s">
        <v>483</v>
      </c>
      <c r="L111" s="2">
        <v>46064</v>
      </c>
      <c r="M111" s="1" t="s">
        <v>230</v>
      </c>
      <c r="N111" s="2">
        <v>46069</v>
      </c>
      <c r="O111" s="3">
        <f>NETWORKDAYS(L111,N111,[1]Holidays!$B$2:$B$16)</f>
        <v>4</v>
      </c>
      <c r="P111" s="1" t="s">
        <v>484</v>
      </c>
    </row>
    <row r="112" spans="1:16">
      <c r="A112" s="1" t="s">
        <v>485</v>
      </c>
      <c r="B112" s="1" t="s">
        <v>1</v>
      </c>
      <c r="C112" s="1" t="s">
        <v>79</v>
      </c>
      <c r="D112" s="1" t="s">
        <v>486</v>
      </c>
      <c r="E112" s="39" t="s">
        <v>487</v>
      </c>
      <c r="F112" s="1"/>
      <c r="G112" s="1">
        <v>2</v>
      </c>
      <c r="H112" s="1">
        <v>6</v>
      </c>
      <c r="I112" s="9">
        <f t="shared" si="2"/>
        <v>8</v>
      </c>
      <c r="J112" s="1">
        <v>3.64</v>
      </c>
      <c r="K112" s="42" t="s">
        <v>488</v>
      </c>
      <c r="L112" s="2">
        <v>46064</v>
      </c>
      <c r="M112" s="1" t="s">
        <v>6</v>
      </c>
      <c r="N112" s="2">
        <v>46069</v>
      </c>
      <c r="O112" s="3">
        <f>NETWORKDAYS(L112,N112,[1]Holidays!$B$2:$B$16)</f>
        <v>4</v>
      </c>
      <c r="P112" s="1" t="s">
        <v>489</v>
      </c>
    </row>
    <row r="113" spans="1:16">
      <c r="A113" s="1" t="s">
        <v>490</v>
      </c>
      <c r="B113" s="1" t="s">
        <v>1</v>
      </c>
      <c r="C113" s="1" t="s">
        <v>79</v>
      </c>
      <c r="D113" s="1" t="s">
        <v>491</v>
      </c>
      <c r="E113" s="39" t="s">
        <v>492</v>
      </c>
      <c r="F113" s="1"/>
      <c r="G113" s="1">
        <v>3</v>
      </c>
      <c r="H113" s="1">
        <v>10</v>
      </c>
      <c r="I113" s="9">
        <f t="shared" si="2"/>
        <v>13</v>
      </c>
      <c r="J113" s="1">
        <v>3.64</v>
      </c>
      <c r="K113" s="42" t="s">
        <v>493</v>
      </c>
      <c r="L113" s="2">
        <v>46064</v>
      </c>
      <c r="M113" s="1" t="s">
        <v>230</v>
      </c>
      <c r="N113" s="2">
        <v>46069</v>
      </c>
      <c r="O113" s="3">
        <f>NETWORKDAYS(L113,N113,[1]Holidays!$B$2:$B$16)</f>
        <v>4</v>
      </c>
      <c r="P113" s="1" t="s">
        <v>494</v>
      </c>
    </row>
    <row r="114" spans="1:16">
      <c r="A114" s="1" t="s">
        <v>495</v>
      </c>
      <c r="B114" s="1" t="s">
        <v>1</v>
      </c>
      <c r="C114" s="1" t="s">
        <v>451</v>
      </c>
      <c r="D114" s="1" t="s">
        <v>496</v>
      </c>
      <c r="E114" s="39" t="s">
        <v>497</v>
      </c>
      <c r="F114" s="1" t="s">
        <v>368</v>
      </c>
      <c r="G114" s="1">
        <v>6</v>
      </c>
      <c r="H114" s="1">
        <v>30</v>
      </c>
      <c r="I114" s="9">
        <f t="shared" si="2"/>
        <v>36</v>
      </c>
      <c r="J114" s="1">
        <v>3.73</v>
      </c>
      <c r="K114" s="41" t="s">
        <v>498</v>
      </c>
      <c r="L114" s="2">
        <v>46064</v>
      </c>
      <c r="M114" s="1" t="s">
        <v>230</v>
      </c>
      <c r="N114" s="2">
        <v>46069</v>
      </c>
      <c r="O114" s="3">
        <f>NETWORKDAYS(L114,N114,[1]Holidays!$B$2:$B$16)</f>
        <v>4</v>
      </c>
      <c r="P114" s="1" t="s">
        <v>7</v>
      </c>
    </row>
    <row r="115" spans="1:16">
      <c r="A115" s="1" t="s">
        <v>499</v>
      </c>
      <c r="B115" s="1" t="s">
        <v>1</v>
      </c>
      <c r="C115" s="1" t="s">
        <v>79</v>
      </c>
      <c r="D115" s="1" t="s">
        <v>500</v>
      </c>
      <c r="E115" s="39" t="s">
        <v>501</v>
      </c>
      <c r="F115" s="1" t="s">
        <v>502</v>
      </c>
      <c r="G115" s="1">
        <v>5</v>
      </c>
      <c r="H115" s="1">
        <v>9</v>
      </c>
      <c r="I115" s="9">
        <f t="shared" si="2"/>
        <v>14</v>
      </c>
      <c r="J115" s="1">
        <v>3.56</v>
      </c>
      <c r="K115" s="41" t="s">
        <v>503</v>
      </c>
      <c r="L115" s="2">
        <v>46064</v>
      </c>
      <c r="M115" s="1" t="s">
        <v>6</v>
      </c>
      <c r="N115" s="2">
        <v>46069</v>
      </c>
      <c r="O115" s="3">
        <f>NETWORKDAYS(L115,N115,[1]Holidays!$B$2:$B$16)</f>
        <v>4</v>
      </c>
      <c r="P115" s="1" t="s">
        <v>494</v>
      </c>
    </row>
    <row r="116" spans="1:16">
      <c r="A116" s="1" t="s">
        <v>504</v>
      </c>
      <c r="B116" s="1" t="s">
        <v>1</v>
      </c>
      <c r="C116" s="1" t="s">
        <v>505</v>
      </c>
      <c r="D116" s="1" t="s">
        <v>506</v>
      </c>
      <c r="E116" s="39" t="s">
        <v>373</v>
      </c>
      <c r="F116" s="1" t="s">
        <v>507</v>
      </c>
      <c r="G116" s="1">
        <v>0</v>
      </c>
      <c r="H116" s="1">
        <v>59</v>
      </c>
      <c r="I116" s="9">
        <f t="shared" si="2"/>
        <v>59</v>
      </c>
      <c r="J116" s="1">
        <v>3.73</v>
      </c>
      <c r="K116" s="21" t="s">
        <v>508</v>
      </c>
      <c r="L116" s="2">
        <v>46064</v>
      </c>
      <c r="M116" s="1" t="s">
        <v>230</v>
      </c>
      <c r="N116" s="2">
        <v>46069</v>
      </c>
      <c r="O116" s="3">
        <f>NETWORKDAYS(L116,N116,[1]Holidays!$B$2:$B$16)</f>
        <v>4</v>
      </c>
      <c r="P116" s="1" t="s">
        <v>509</v>
      </c>
    </row>
    <row r="117" spans="1:16">
      <c r="A117" s="1" t="s">
        <v>510</v>
      </c>
      <c r="B117" s="1" t="s">
        <v>1</v>
      </c>
      <c r="C117" s="1" t="s">
        <v>451</v>
      </c>
      <c r="D117" s="1" t="s">
        <v>511</v>
      </c>
      <c r="E117" s="39" t="s">
        <v>512</v>
      </c>
      <c r="F117" s="1" t="s">
        <v>368</v>
      </c>
      <c r="G117" s="1">
        <v>2</v>
      </c>
      <c r="H117" s="1">
        <v>21</v>
      </c>
      <c r="I117" s="9">
        <f t="shared" si="2"/>
        <v>23</v>
      </c>
      <c r="J117" s="1">
        <v>3.73</v>
      </c>
      <c r="K117" s="35" t="s">
        <v>513</v>
      </c>
      <c r="L117" s="2">
        <v>46064</v>
      </c>
      <c r="M117" s="18" t="s">
        <v>230</v>
      </c>
      <c r="N117" s="2">
        <v>46069</v>
      </c>
      <c r="O117" s="3">
        <f>NETWORKDAYS(L117,N117,[1]Holidays!$B$2:$B$16)</f>
        <v>4</v>
      </c>
      <c r="P117" s="1" t="s">
        <v>7</v>
      </c>
    </row>
    <row r="118" spans="1:16">
      <c r="A118" s="1" t="s">
        <v>514</v>
      </c>
      <c r="B118" s="1" t="s">
        <v>1</v>
      </c>
      <c r="C118" s="1" t="s">
        <v>515</v>
      </c>
      <c r="D118" s="1" t="s">
        <v>516</v>
      </c>
      <c r="E118" s="39" t="s">
        <v>517</v>
      </c>
      <c r="F118" s="1"/>
      <c r="G118" s="1">
        <v>5</v>
      </c>
      <c r="H118" s="1">
        <v>5</v>
      </c>
      <c r="I118" s="9">
        <f t="shared" si="2"/>
        <v>10</v>
      </c>
      <c r="J118" s="1">
        <v>3.27</v>
      </c>
      <c r="K118" s="42" t="s">
        <v>518</v>
      </c>
      <c r="L118" s="2">
        <v>46064</v>
      </c>
      <c r="M118" s="1" t="s">
        <v>230</v>
      </c>
      <c r="N118" s="2">
        <v>46069</v>
      </c>
      <c r="O118" s="3">
        <f>NETWORKDAYS(L118,N118,[1]Holidays!$B$2:$B$16)</f>
        <v>4</v>
      </c>
      <c r="P118" s="1" t="s">
        <v>519</v>
      </c>
    </row>
    <row r="119" spans="1:16">
      <c r="A119" s="1" t="s">
        <v>520</v>
      </c>
      <c r="B119" s="1" t="s">
        <v>1</v>
      </c>
      <c r="C119" s="1" t="s">
        <v>175</v>
      </c>
      <c r="D119" s="1" t="s">
        <v>521</v>
      </c>
      <c r="E119" s="39" t="s">
        <v>522</v>
      </c>
      <c r="F119" s="1" t="s">
        <v>523</v>
      </c>
      <c r="G119" s="1">
        <v>0</v>
      </c>
      <c r="H119" s="1">
        <v>10</v>
      </c>
      <c r="I119" s="9">
        <f t="shared" si="2"/>
        <v>10</v>
      </c>
      <c r="J119" s="1">
        <v>3.64</v>
      </c>
      <c r="K119" s="21" t="s">
        <v>524</v>
      </c>
      <c r="L119" s="2">
        <v>46063</v>
      </c>
      <c r="M119" s="18" t="s">
        <v>230</v>
      </c>
      <c r="N119" s="2">
        <v>46069</v>
      </c>
      <c r="O119" s="3">
        <f>NETWORKDAYS(L119,N119,[1]Holidays!$B$2:$B$16)</f>
        <v>5</v>
      </c>
      <c r="P119" s="1" t="s">
        <v>473</v>
      </c>
    </row>
    <row r="120" spans="1:16">
      <c r="A120" s="1" t="s">
        <v>525</v>
      </c>
      <c r="B120" s="1" t="s">
        <v>1</v>
      </c>
      <c r="C120" s="1" t="s">
        <v>526</v>
      </c>
      <c r="D120" s="1" t="s">
        <v>527</v>
      </c>
      <c r="E120" s="39" t="s">
        <v>528</v>
      </c>
      <c r="F120" s="1" t="s">
        <v>166</v>
      </c>
      <c r="G120" s="1">
        <v>7</v>
      </c>
      <c r="H120" s="1">
        <v>18</v>
      </c>
      <c r="I120" s="9">
        <f t="shared" ref="I120:I169" si="3">SUM(G120:H120)</f>
        <v>25</v>
      </c>
      <c r="J120" s="1">
        <v>3.55</v>
      </c>
      <c r="K120" s="21" t="s">
        <v>529</v>
      </c>
      <c r="L120" s="2">
        <v>46069</v>
      </c>
      <c r="M120" s="18" t="s">
        <v>230</v>
      </c>
      <c r="N120" s="2">
        <v>46071</v>
      </c>
      <c r="O120" s="3">
        <f>NETWORKDAYS(L120,N120,[1]Holidays!$B$2:$B$16)</f>
        <v>3</v>
      </c>
      <c r="P120" s="1" t="s">
        <v>7</v>
      </c>
    </row>
    <row r="121" spans="1:16">
      <c r="A121" s="1" t="s">
        <v>530</v>
      </c>
      <c r="B121" s="1" t="s">
        <v>1</v>
      </c>
      <c r="C121" s="1" t="s">
        <v>90</v>
      </c>
      <c r="D121" s="1" t="s">
        <v>531</v>
      </c>
      <c r="E121" s="39" t="s">
        <v>532</v>
      </c>
      <c r="F121" s="1" t="s">
        <v>533</v>
      </c>
      <c r="G121" s="1">
        <v>7</v>
      </c>
      <c r="H121" s="1">
        <v>23</v>
      </c>
      <c r="I121" s="9">
        <f t="shared" si="3"/>
        <v>30</v>
      </c>
      <c r="J121" s="1">
        <v>3.73</v>
      </c>
      <c r="K121" s="21" t="s">
        <v>534</v>
      </c>
      <c r="L121" s="2">
        <v>46069</v>
      </c>
      <c r="M121" s="18" t="s">
        <v>380</v>
      </c>
      <c r="N121" s="2">
        <v>46071</v>
      </c>
      <c r="O121" s="3">
        <f>NETWORKDAYS(L121,N121,[1]Holidays!$B$2:$B$16)</f>
        <v>3</v>
      </c>
      <c r="P121" s="1" t="s">
        <v>535</v>
      </c>
    </row>
    <row r="122" spans="1:16">
      <c r="A122" s="1" t="s">
        <v>536</v>
      </c>
      <c r="B122" s="1" t="s">
        <v>1</v>
      </c>
      <c r="C122" s="1" t="s">
        <v>537</v>
      </c>
      <c r="D122" s="1" t="s">
        <v>538</v>
      </c>
      <c r="E122" s="39" t="s">
        <v>362</v>
      </c>
      <c r="F122" s="1" t="s">
        <v>539</v>
      </c>
      <c r="G122" s="1">
        <v>3</v>
      </c>
      <c r="H122" s="1">
        <v>8</v>
      </c>
      <c r="I122" s="9">
        <f t="shared" si="3"/>
        <v>11</v>
      </c>
      <c r="J122" s="1">
        <v>3.55</v>
      </c>
      <c r="K122" s="21" t="s">
        <v>540</v>
      </c>
      <c r="L122" s="2">
        <v>46069</v>
      </c>
      <c r="M122" s="18" t="s">
        <v>6</v>
      </c>
      <c r="N122" s="2">
        <v>46071</v>
      </c>
      <c r="O122" s="3">
        <f>NETWORKDAYS(L122,N122,[1]Holidays!$B$2:$B$16)</f>
        <v>3</v>
      </c>
      <c r="P122" s="1" t="s">
        <v>541</v>
      </c>
    </row>
    <row r="123" spans="1:16">
      <c r="A123" s="1" t="s">
        <v>542</v>
      </c>
      <c r="B123" s="1" t="s">
        <v>1</v>
      </c>
      <c r="C123" s="1" t="s">
        <v>451</v>
      </c>
      <c r="D123" s="1" t="s">
        <v>543</v>
      </c>
      <c r="E123" s="39" t="s">
        <v>202</v>
      </c>
      <c r="F123" s="1" t="s">
        <v>544</v>
      </c>
      <c r="G123" s="1">
        <v>6</v>
      </c>
      <c r="H123" s="1">
        <v>15</v>
      </c>
      <c r="I123" s="9">
        <f t="shared" si="3"/>
        <v>21</v>
      </c>
      <c r="J123" s="1">
        <v>3.73</v>
      </c>
      <c r="K123" s="21" t="s">
        <v>545</v>
      </c>
      <c r="L123" s="2">
        <v>46069</v>
      </c>
      <c r="M123" s="18" t="s">
        <v>6</v>
      </c>
      <c r="N123" s="2">
        <v>46071</v>
      </c>
      <c r="O123" s="3">
        <f>NETWORKDAYS(L123,N123,[1]Holidays!$B$2:$B$16)</f>
        <v>3</v>
      </c>
      <c r="P123" s="1" t="s">
        <v>7</v>
      </c>
    </row>
    <row r="124" spans="1:16">
      <c r="A124" s="1" t="s">
        <v>546</v>
      </c>
      <c r="B124" s="1" t="s">
        <v>1</v>
      </c>
      <c r="C124" s="1" t="s">
        <v>547</v>
      </c>
      <c r="D124" s="1" t="s">
        <v>548</v>
      </c>
      <c r="E124" s="39" t="s">
        <v>549</v>
      </c>
      <c r="F124" s="1" t="s">
        <v>166</v>
      </c>
      <c r="G124" s="1">
        <v>0</v>
      </c>
      <c r="H124" s="1">
        <v>20</v>
      </c>
      <c r="I124" s="9">
        <f t="shared" si="3"/>
        <v>20</v>
      </c>
      <c r="J124" s="1">
        <v>3.91</v>
      </c>
      <c r="K124" s="21" t="s">
        <v>550</v>
      </c>
      <c r="L124" s="2">
        <v>46069</v>
      </c>
      <c r="M124" s="18" t="s">
        <v>230</v>
      </c>
      <c r="N124" s="2">
        <v>46071</v>
      </c>
      <c r="O124" s="3">
        <f>NETWORKDAYS(L124,N124,[1]Holidays!$B$2:$B$16)</f>
        <v>3</v>
      </c>
      <c r="P124" s="1" t="s">
        <v>519</v>
      </c>
    </row>
    <row r="125" spans="1:16">
      <c r="A125" s="1" t="s">
        <v>551</v>
      </c>
      <c r="B125" s="1" t="s">
        <v>254</v>
      </c>
      <c r="C125" s="1" t="s">
        <v>547</v>
      </c>
      <c r="D125" s="1" t="s">
        <v>552</v>
      </c>
      <c r="E125" s="39" t="s">
        <v>553</v>
      </c>
      <c r="F125" s="39" t="s">
        <v>554</v>
      </c>
      <c r="G125" s="1">
        <v>4</v>
      </c>
      <c r="H125" s="1">
        <v>47</v>
      </c>
      <c r="I125" s="9">
        <f t="shared" si="3"/>
        <v>51</v>
      </c>
      <c r="J125" s="1">
        <v>4</v>
      </c>
      <c r="K125" s="21" t="s">
        <v>555</v>
      </c>
      <c r="L125" s="2">
        <v>46069</v>
      </c>
      <c r="M125" s="39" t="s">
        <v>6</v>
      </c>
      <c r="N125" s="2">
        <v>46071</v>
      </c>
      <c r="O125" s="3">
        <f>NETWORKDAYS(L125,N125,[1]Holidays!$B$2:$B$16)</f>
        <v>3</v>
      </c>
      <c r="P125" s="1" t="s">
        <v>519</v>
      </c>
    </row>
    <row r="126" spans="1:16">
      <c r="A126" s="1" t="s">
        <v>556</v>
      </c>
      <c r="B126" s="1" t="s">
        <v>1</v>
      </c>
      <c r="C126" s="1" t="s">
        <v>395</v>
      </c>
      <c r="D126" s="1" t="s">
        <v>557</v>
      </c>
      <c r="E126" s="39" t="s">
        <v>481</v>
      </c>
      <c r="F126" s="1" t="s">
        <v>558</v>
      </c>
      <c r="G126" s="1">
        <v>4</v>
      </c>
      <c r="H126" s="1">
        <v>28</v>
      </c>
      <c r="I126" s="9">
        <f t="shared" si="3"/>
        <v>32</v>
      </c>
      <c r="J126" s="1">
        <v>3.55</v>
      </c>
      <c r="K126" s="21" t="s">
        <v>559</v>
      </c>
      <c r="L126" s="2">
        <v>46069</v>
      </c>
      <c r="M126" s="1" t="s">
        <v>6</v>
      </c>
      <c r="N126" s="2">
        <v>46071</v>
      </c>
      <c r="O126" s="3">
        <f>NETWORKDAYS(L126,N126,[1]Holidays!$B$2:$B$16)</f>
        <v>3</v>
      </c>
      <c r="P126" s="1" t="s">
        <v>7</v>
      </c>
    </row>
    <row r="127" spans="1:16">
      <c r="A127" s="1" t="s">
        <v>560</v>
      </c>
      <c r="B127" s="1" t="s">
        <v>1</v>
      </c>
      <c r="C127" s="1" t="s">
        <v>14</v>
      </c>
      <c r="D127" s="1" t="s">
        <v>561</v>
      </c>
      <c r="E127" s="39" t="s">
        <v>562</v>
      </c>
      <c r="F127" s="1" t="s">
        <v>563</v>
      </c>
      <c r="G127" s="1">
        <v>4</v>
      </c>
      <c r="H127" s="1">
        <v>4</v>
      </c>
      <c r="I127" s="9">
        <f t="shared" si="3"/>
        <v>8</v>
      </c>
      <c r="J127" s="1">
        <v>3.73</v>
      </c>
      <c r="K127" s="21" t="s">
        <v>564</v>
      </c>
      <c r="L127" s="2">
        <v>46069</v>
      </c>
      <c r="M127" s="1" t="s">
        <v>6</v>
      </c>
      <c r="N127" s="2">
        <v>46071</v>
      </c>
      <c r="O127" s="3">
        <f>NETWORKDAYS(L127,N127,[1]Holidays!$B$2:$B$16)</f>
        <v>3</v>
      </c>
      <c r="P127" s="1" t="s">
        <v>565</v>
      </c>
    </row>
    <row r="128" spans="1:16">
      <c r="A128" s="1" t="s">
        <v>566</v>
      </c>
      <c r="B128" s="1" t="s">
        <v>1</v>
      </c>
      <c r="C128" s="1" t="s">
        <v>154</v>
      </c>
      <c r="D128" s="1" t="s">
        <v>567</v>
      </c>
      <c r="E128" s="39" t="s">
        <v>402</v>
      </c>
      <c r="F128" s="1"/>
      <c r="G128" s="1">
        <v>7</v>
      </c>
      <c r="H128" s="1">
        <v>73</v>
      </c>
      <c r="I128" s="9">
        <f t="shared" si="3"/>
        <v>80</v>
      </c>
      <c r="J128" s="1">
        <v>3.64</v>
      </c>
      <c r="K128" s="21" t="s">
        <v>568</v>
      </c>
      <c r="L128" s="2">
        <v>46069</v>
      </c>
      <c r="M128" s="18" t="s">
        <v>230</v>
      </c>
      <c r="N128" s="2">
        <v>46071</v>
      </c>
      <c r="O128" s="3">
        <f>NETWORKDAYS(L128,N128,[1]Holidays!$B$2:$B$16)</f>
        <v>3</v>
      </c>
      <c r="P128" s="1" t="s">
        <v>7</v>
      </c>
    </row>
    <row r="129" spans="1:16">
      <c r="A129" s="1" t="s">
        <v>569</v>
      </c>
      <c r="B129" s="1" t="s">
        <v>1</v>
      </c>
      <c r="C129" s="1" t="s">
        <v>570</v>
      </c>
      <c r="D129" s="1" t="s">
        <v>571</v>
      </c>
      <c r="E129" s="39" t="s">
        <v>572</v>
      </c>
      <c r="F129" s="1"/>
      <c r="G129" s="1">
        <v>1</v>
      </c>
      <c r="H129" s="1">
        <v>35</v>
      </c>
      <c r="I129" s="9">
        <f t="shared" si="3"/>
        <v>36</v>
      </c>
      <c r="J129" s="1">
        <v>3.91</v>
      </c>
      <c r="K129" s="21" t="s">
        <v>573</v>
      </c>
      <c r="L129" s="2">
        <v>46069</v>
      </c>
      <c r="M129" s="18" t="s">
        <v>380</v>
      </c>
      <c r="N129" s="2">
        <v>46071</v>
      </c>
      <c r="O129" s="3">
        <f>NETWORKDAYS(L129,N129,[1]Holidays!$B$2:$B$16)</f>
        <v>3</v>
      </c>
      <c r="P129" s="1" t="s">
        <v>519</v>
      </c>
    </row>
    <row r="130" spans="1:16">
      <c r="A130" s="1" t="s">
        <v>574</v>
      </c>
      <c r="B130" s="1" t="s">
        <v>1</v>
      </c>
      <c r="C130" s="1" t="s">
        <v>163</v>
      </c>
      <c r="D130" s="1" t="s">
        <v>575</v>
      </c>
      <c r="E130" s="39" t="s">
        <v>576</v>
      </c>
      <c r="F130" s="1"/>
      <c r="G130" s="1">
        <v>2</v>
      </c>
      <c r="H130" s="1">
        <v>20</v>
      </c>
      <c r="I130" s="9">
        <f t="shared" si="3"/>
        <v>22</v>
      </c>
      <c r="J130" s="1">
        <v>3.64</v>
      </c>
      <c r="K130" s="21" t="s">
        <v>577</v>
      </c>
      <c r="L130" s="2">
        <v>46069</v>
      </c>
      <c r="M130" s="18" t="s">
        <v>230</v>
      </c>
      <c r="N130" s="2">
        <v>46071</v>
      </c>
      <c r="O130" s="3">
        <f>NETWORKDAYS(L130,N130,[1]Holidays!$B$2:$B$16)</f>
        <v>3</v>
      </c>
      <c r="P130" s="1" t="s">
        <v>410</v>
      </c>
    </row>
    <row r="131" spans="1:16">
      <c r="A131" s="1" t="s">
        <v>578</v>
      </c>
      <c r="B131" s="1" t="s">
        <v>1</v>
      </c>
      <c r="C131" s="1" t="s">
        <v>537</v>
      </c>
      <c r="D131" s="1" t="s">
        <v>579</v>
      </c>
      <c r="E131" s="43">
        <v>46084</v>
      </c>
      <c r="F131" s="1"/>
      <c r="G131" s="1">
        <v>3</v>
      </c>
      <c r="H131" s="1">
        <v>8</v>
      </c>
      <c r="I131" s="9">
        <f t="shared" si="3"/>
        <v>11</v>
      </c>
      <c r="J131" s="1">
        <v>3.55</v>
      </c>
      <c r="K131" s="21" t="s">
        <v>580</v>
      </c>
      <c r="L131" s="2">
        <v>46069</v>
      </c>
      <c r="M131" s="18" t="s">
        <v>230</v>
      </c>
      <c r="N131" s="2">
        <v>46071</v>
      </c>
      <c r="O131" s="3">
        <f>NETWORKDAYS(L131,N131,[1]Holidays!$B$2:$B$16)</f>
        <v>3</v>
      </c>
      <c r="P131" s="1" t="s">
        <v>541</v>
      </c>
    </row>
    <row r="132" spans="1:16">
      <c r="A132" s="1" t="s">
        <v>581</v>
      </c>
      <c r="B132" s="1" t="s">
        <v>1</v>
      </c>
      <c r="C132" s="1" t="s">
        <v>79</v>
      </c>
      <c r="D132" s="1" t="s">
        <v>582</v>
      </c>
      <c r="E132" s="39" t="s">
        <v>501</v>
      </c>
      <c r="F132" s="1"/>
      <c r="G132" s="1">
        <v>5</v>
      </c>
      <c r="H132" s="1">
        <v>9</v>
      </c>
      <c r="I132" s="9">
        <f t="shared" si="3"/>
        <v>14</v>
      </c>
      <c r="J132" s="1">
        <v>3.64</v>
      </c>
      <c r="K132" s="21" t="s">
        <v>503</v>
      </c>
      <c r="L132" s="2">
        <v>46071</v>
      </c>
      <c r="M132" s="18" t="s">
        <v>230</v>
      </c>
      <c r="N132" s="2">
        <v>46072</v>
      </c>
      <c r="O132" s="3">
        <f>NETWORKDAYS(L132,N132,[1]Holidays!$B$2:$B$16)</f>
        <v>2</v>
      </c>
      <c r="P132" s="1" t="s">
        <v>494</v>
      </c>
    </row>
    <row r="133" spans="1:16">
      <c r="A133" s="1" t="s">
        <v>583</v>
      </c>
      <c r="B133" s="1" t="s">
        <v>1</v>
      </c>
      <c r="C133" s="1" t="s">
        <v>79</v>
      </c>
      <c r="D133" s="1" t="s">
        <v>584</v>
      </c>
      <c r="E133" s="39" t="s">
        <v>501</v>
      </c>
      <c r="F133" s="1"/>
      <c r="G133" s="1">
        <v>3</v>
      </c>
      <c r="H133" s="1">
        <v>12</v>
      </c>
      <c r="I133" s="9">
        <f t="shared" si="3"/>
        <v>15</v>
      </c>
      <c r="J133" s="1">
        <v>3.64</v>
      </c>
      <c r="K133" s="21" t="s">
        <v>503</v>
      </c>
      <c r="L133" s="2">
        <v>46071</v>
      </c>
      <c r="M133" s="18" t="s">
        <v>230</v>
      </c>
      <c r="N133" s="2">
        <v>46072</v>
      </c>
      <c r="O133" s="3">
        <f>NETWORKDAYS(L133,N133,[1]Holidays!$B$2:$B$16)</f>
        <v>2</v>
      </c>
      <c r="P133" s="1" t="s">
        <v>585</v>
      </c>
    </row>
    <row r="134" spans="1:16">
      <c r="A134" s="1" t="s">
        <v>586</v>
      </c>
      <c r="B134" s="1" t="s">
        <v>1</v>
      </c>
      <c r="C134" s="1" t="s">
        <v>587</v>
      </c>
      <c r="D134" s="1" t="s">
        <v>588</v>
      </c>
      <c r="E134" s="39" t="s">
        <v>589</v>
      </c>
      <c r="F134" s="1"/>
      <c r="G134" s="1">
        <v>3</v>
      </c>
      <c r="H134" s="1">
        <v>12</v>
      </c>
      <c r="I134" s="9">
        <f t="shared" si="3"/>
        <v>15</v>
      </c>
      <c r="J134" s="1">
        <v>3.55</v>
      </c>
      <c r="K134" s="21" t="s">
        <v>590</v>
      </c>
      <c r="L134" s="2">
        <v>46071</v>
      </c>
      <c r="M134" s="1" t="s">
        <v>6</v>
      </c>
      <c r="N134" s="2">
        <v>46072</v>
      </c>
      <c r="O134" s="3">
        <f>NETWORKDAYS(L134,N134,[1]Holidays!$B$2:$B$16)</f>
        <v>2</v>
      </c>
      <c r="P134" s="1"/>
    </row>
    <row r="135" spans="1:16">
      <c r="A135" s="1" t="s">
        <v>591</v>
      </c>
      <c r="B135" s="1" t="s">
        <v>1</v>
      </c>
      <c r="C135" s="1" t="s">
        <v>133</v>
      </c>
      <c r="D135" s="1" t="s">
        <v>592</v>
      </c>
      <c r="E135" s="43">
        <v>46087</v>
      </c>
      <c r="F135" s="1"/>
      <c r="G135" s="1">
        <v>6</v>
      </c>
      <c r="H135" s="1">
        <v>9</v>
      </c>
      <c r="I135" s="9">
        <f t="shared" si="3"/>
        <v>15</v>
      </c>
      <c r="J135" s="1">
        <v>3.64</v>
      </c>
      <c r="K135" s="21" t="s">
        <v>593</v>
      </c>
      <c r="L135" s="2">
        <v>46071</v>
      </c>
      <c r="M135" s="1" t="s">
        <v>6</v>
      </c>
      <c r="N135" s="2">
        <v>46072</v>
      </c>
      <c r="O135" s="3">
        <f>NETWORKDAYS(L135,N135,[1]Holidays!$B$2:$B$16)</f>
        <v>2</v>
      </c>
      <c r="P135" s="1" t="s">
        <v>594</v>
      </c>
    </row>
    <row r="136" spans="1:16">
      <c r="A136" s="1" t="s">
        <v>595</v>
      </c>
      <c r="B136" s="1" t="s">
        <v>1</v>
      </c>
      <c r="C136" s="1" t="s">
        <v>120</v>
      </c>
      <c r="D136" s="1" t="s">
        <v>596</v>
      </c>
      <c r="E136" s="39" t="s">
        <v>522</v>
      </c>
      <c r="F136" s="1"/>
      <c r="G136" s="1">
        <v>0</v>
      </c>
      <c r="H136" s="1">
        <v>9</v>
      </c>
      <c r="I136" s="9">
        <f t="shared" si="3"/>
        <v>9</v>
      </c>
      <c r="J136" s="1">
        <v>3.82</v>
      </c>
      <c r="K136" s="21" t="s">
        <v>597</v>
      </c>
      <c r="L136" s="2">
        <v>46071</v>
      </c>
      <c r="M136" s="18" t="s">
        <v>230</v>
      </c>
      <c r="N136" s="2">
        <v>46072</v>
      </c>
      <c r="O136" s="3">
        <f>NETWORKDAYS(L136,N136,[1]Holidays!$B$2:$B$16)</f>
        <v>2</v>
      </c>
      <c r="P136" s="1" t="s">
        <v>598</v>
      </c>
    </row>
    <row r="137" spans="1:16">
      <c r="A137" s="1" t="s">
        <v>599</v>
      </c>
      <c r="B137" s="1" t="s">
        <v>1</v>
      </c>
      <c r="C137" s="1" t="s">
        <v>120</v>
      </c>
      <c r="D137" s="1" t="s">
        <v>600</v>
      </c>
      <c r="E137" s="39" t="s">
        <v>601</v>
      </c>
      <c r="F137" s="1"/>
      <c r="G137" s="1">
        <v>3</v>
      </c>
      <c r="H137" s="1">
        <v>38</v>
      </c>
      <c r="I137" s="9">
        <f t="shared" si="3"/>
        <v>41</v>
      </c>
      <c r="J137" s="1">
        <v>4</v>
      </c>
      <c r="K137" s="21" t="s">
        <v>602</v>
      </c>
      <c r="L137" s="2">
        <v>46071</v>
      </c>
      <c r="M137" s="18" t="s">
        <v>230</v>
      </c>
      <c r="N137" s="2">
        <v>46072</v>
      </c>
      <c r="O137" s="3">
        <f>NETWORKDAYS(L137,N137,[1]Holidays!$B$2:$B$16)</f>
        <v>2</v>
      </c>
      <c r="P137" s="1" t="s">
        <v>598</v>
      </c>
    </row>
    <row r="138" spans="1:16">
      <c r="A138" s="1" t="s">
        <v>603</v>
      </c>
      <c r="B138" s="1" t="s">
        <v>1</v>
      </c>
      <c r="C138" s="1" t="s">
        <v>120</v>
      </c>
      <c r="D138" s="1" t="s">
        <v>604</v>
      </c>
      <c r="E138" s="43">
        <v>46086</v>
      </c>
      <c r="F138" s="1"/>
      <c r="G138" s="1">
        <v>0</v>
      </c>
      <c r="H138" s="1">
        <v>10</v>
      </c>
      <c r="I138" s="9">
        <f t="shared" si="3"/>
        <v>10</v>
      </c>
      <c r="J138" s="1">
        <v>3.82</v>
      </c>
      <c r="K138" s="21" t="s">
        <v>605</v>
      </c>
      <c r="L138" s="2">
        <v>46071</v>
      </c>
      <c r="M138" s="18" t="s">
        <v>230</v>
      </c>
      <c r="N138" s="2">
        <v>46072</v>
      </c>
      <c r="O138" s="3">
        <f>NETWORKDAYS(L138,N138,[1]Holidays!$B$2:$B$16)</f>
        <v>2</v>
      </c>
      <c r="P138" s="1" t="s">
        <v>598</v>
      </c>
    </row>
    <row r="139" spans="1:16">
      <c r="A139" s="1" t="s">
        <v>606</v>
      </c>
      <c r="B139" s="1" t="s">
        <v>1</v>
      </c>
      <c r="C139" s="1" t="s">
        <v>547</v>
      </c>
      <c r="D139" s="1" t="s">
        <v>607</v>
      </c>
      <c r="E139" s="39" t="s">
        <v>608</v>
      </c>
      <c r="F139" s="1" t="s">
        <v>609</v>
      </c>
      <c r="G139" s="1">
        <v>3</v>
      </c>
      <c r="H139" s="1">
        <v>37</v>
      </c>
      <c r="I139" s="9">
        <f t="shared" si="3"/>
        <v>40</v>
      </c>
      <c r="J139" s="1">
        <v>3.82</v>
      </c>
      <c r="K139" s="44" t="s">
        <v>610</v>
      </c>
      <c r="L139" s="2">
        <v>46071</v>
      </c>
      <c r="M139" s="1" t="s">
        <v>6</v>
      </c>
      <c r="N139" s="2">
        <v>46073</v>
      </c>
      <c r="O139" s="3">
        <f>NETWORKDAYS(L139,N139,[1]Holidays!$B$2:$B$16)</f>
        <v>3</v>
      </c>
      <c r="P139" s="1" t="s">
        <v>611</v>
      </c>
    </row>
    <row r="140" spans="1:16">
      <c r="A140" s="1" t="s">
        <v>612</v>
      </c>
      <c r="B140" s="1" t="s">
        <v>1</v>
      </c>
      <c r="C140" s="1" t="s">
        <v>101</v>
      </c>
      <c r="D140" s="1" t="s">
        <v>613</v>
      </c>
      <c r="E140" s="39" t="s">
        <v>614</v>
      </c>
      <c r="F140" s="1" t="s">
        <v>615</v>
      </c>
      <c r="G140" s="1">
        <v>6</v>
      </c>
      <c r="H140" s="1">
        <v>23</v>
      </c>
      <c r="I140" s="9">
        <f t="shared" si="3"/>
        <v>29</v>
      </c>
      <c r="J140" s="1">
        <v>3.55</v>
      </c>
      <c r="K140" s="21" t="s">
        <v>616</v>
      </c>
      <c r="L140" s="2">
        <v>46071</v>
      </c>
      <c r="M140" s="18" t="s">
        <v>6</v>
      </c>
      <c r="N140" s="2">
        <v>46073</v>
      </c>
      <c r="O140" s="3">
        <f>NETWORKDAYS(L140,N140,[1]Holidays!$B$2:$B$16)</f>
        <v>3</v>
      </c>
      <c r="P140" s="1" t="s">
        <v>7</v>
      </c>
    </row>
    <row r="141" spans="1:16">
      <c r="A141" s="1" t="s">
        <v>617</v>
      </c>
      <c r="B141" s="1" t="s">
        <v>1</v>
      </c>
      <c r="C141" s="1" t="s">
        <v>40</v>
      </c>
      <c r="D141" s="1" t="s">
        <v>618</v>
      </c>
      <c r="E141" s="39" t="s">
        <v>402</v>
      </c>
      <c r="F141" s="1" t="s">
        <v>609</v>
      </c>
      <c r="G141" s="1">
        <v>2</v>
      </c>
      <c r="H141" s="1">
        <v>6</v>
      </c>
      <c r="I141" s="9">
        <f t="shared" si="3"/>
        <v>8</v>
      </c>
      <c r="J141" s="1">
        <v>3.64</v>
      </c>
      <c r="K141" s="21" t="s">
        <v>619</v>
      </c>
      <c r="L141" s="2">
        <v>46071</v>
      </c>
      <c r="M141" s="18" t="s">
        <v>6</v>
      </c>
      <c r="N141" s="2">
        <v>46073</v>
      </c>
      <c r="O141" s="3">
        <f>NETWORKDAYS(L141,N141,[1]Holidays!$B$2:$B$16)</f>
        <v>3</v>
      </c>
      <c r="P141" s="1" t="s">
        <v>620</v>
      </c>
    </row>
    <row r="142" spans="1:16">
      <c r="A142" s="1" t="s">
        <v>621</v>
      </c>
      <c r="B142" s="1" t="s">
        <v>1</v>
      </c>
      <c r="C142" s="1" t="s">
        <v>283</v>
      </c>
      <c r="D142" s="1" t="s">
        <v>622</v>
      </c>
      <c r="E142" s="39" t="s">
        <v>194</v>
      </c>
      <c r="F142" s="1" t="s">
        <v>440</v>
      </c>
      <c r="G142" s="1">
        <v>2</v>
      </c>
      <c r="H142" s="1">
        <v>9</v>
      </c>
      <c r="I142" s="9">
        <f t="shared" si="3"/>
        <v>11</v>
      </c>
      <c r="J142" s="1">
        <v>4</v>
      </c>
      <c r="K142" s="21" t="s">
        <v>623</v>
      </c>
      <c r="L142" s="2">
        <v>46071</v>
      </c>
      <c r="M142" s="18" t="s">
        <v>6</v>
      </c>
      <c r="N142" s="2">
        <v>46073</v>
      </c>
      <c r="O142" s="3">
        <f>NETWORKDAYS(L142,N142,[1]Holidays!$B$2:$B$16)</f>
        <v>3</v>
      </c>
      <c r="P142" s="1" t="s">
        <v>624</v>
      </c>
    </row>
    <row r="143" spans="1:16">
      <c r="A143" s="1" t="s">
        <v>625</v>
      </c>
      <c r="B143" s="1" t="s">
        <v>254</v>
      </c>
      <c r="C143" s="1" t="s">
        <v>2</v>
      </c>
      <c r="D143" s="1" t="s">
        <v>626</v>
      </c>
      <c r="E143" s="39" t="s">
        <v>627</v>
      </c>
      <c r="F143" s="1" t="s">
        <v>628</v>
      </c>
      <c r="G143" s="1">
        <v>56</v>
      </c>
      <c r="H143" s="1">
        <v>125</v>
      </c>
      <c r="I143" s="9">
        <v>181</v>
      </c>
      <c r="J143" s="1">
        <v>3.5</v>
      </c>
      <c r="K143" s="21" t="s">
        <v>629</v>
      </c>
      <c r="L143" s="2">
        <v>46073</v>
      </c>
      <c r="M143" s="1" t="s">
        <v>230</v>
      </c>
      <c r="N143" s="2">
        <v>46077</v>
      </c>
      <c r="O143" s="3">
        <f>NETWORKDAYS(L143,N143,[1]Holidays!$B$2:$B$16)</f>
        <v>3</v>
      </c>
      <c r="P143" s="1"/>
    </row>
    <row r="144" spans="1:16">
      <c r="A144" s="1" t="s">
        <v>630</v>
      </c>
      <c r="B144" s="1" t="s">
        <v>1</v>
      </c>
      <c r="C144" s="1" t="s">
        <v>631</v>
      </c>
      <c r="D144" s="1" t="s">
        <v>632</v>
      </c>
      <c r="E144" s="39" t="s">
        <v>633</v>
      </c>
      <c r="F144" s="1" t="s">
        <v>634</v>
      </c>
      <c r="G144" s="1">
        <v>0</v>
      </c>
      <c r="H144" s="1">
        <v>48</v>
      </c>
      <c r="I144" s="9">
        <f t="shared" si="3"/>
        <v>48</v>
      </c>
      <c r="J144" s="1">
        <v>3.92</v>
      </c>
      <c r="K144" s="21" t="s">
        <v>635</v>
      </c>
      <c r="L144" s="2">
        <v>46076</v>
      </c>
      <c r="M144" s="1" t="s">
        <v>6</v>
      </c>
      <c r="N144" s="2">
        <v>46078</v>
      </c>
      <c r="O144" s="3">
        <f>NETWORKDAYS(L144,N144,[1]Holidays!$B$2:$B$16)</f>
        <v>3</v>
      </c>
      <c r="P144" s="1" t="s">
        <v>636</v>
      </c>
    </row>
    <row r="145" spans="1:16">
      <c r="A145" s="1" t="s">
        <v>637</v>
      </c>
      <c r="B145" s="1" t="s">
        <v>1</v>
      </c>
      <c r="C145" s="1" t="s">
        <v>216</v>
      </c>
      <c r="D145" s="1" t="s">
        <v>638</v>
      </c>
      <c r="E145" s="39" t="s">
        <v>639</v>
      </c>
      <c r="F145" s="1" t="s">
        <v>640</v>
      </c>
      <c r="G145" s="1">
        <v>1</v>
      </c>
      <c r="H145" s="1">
        <v>10</v>
      </c>
      <c r="I145" s="9">
        <f t="shared" si="3"/>
        <v>11</v>
      </c>
      <c r="J145" s="1">
        <v>3.92</v>
      </c>
      <c r="K145" s="35" t="s">
        <v>641</v>
      </c>
      <c r="L145" s="2">
        <v>46076</v>
      </c>
      <c r="M145" s="39" t="s">
        <v>6</v>
      </c>
      <c r="N145" s="2">
        <v>46078</v>
      </c>
      <c r="O145" s="3">
        <f>NETWORKDAYS(L145,N145,[1]Holidays!$B$2:$B$16)</f>
        <v>3</v>
      </c>
      <c r="P145" s="1" t="s">
        <v>7</v>
      </c>
    </row>
    <row r="146" spans="1:16">
      <c r="A146" s="1" t="s">
        <v>642</v>
      </c>
      <c r="B146" s="1" t="s">
        <v>1</v>
      </c>
      <c r="C146" s="1" t="s">
        <v>79</v>
      </c>
      <c r="D146" s="1" t="s">
        <v>643</v>
      </c>
      <c r="E146" s="39" t="s">
        <v>644</v>
      </c>
      <c r="F146" s="1" t="s">
        <v>368</v>
      </c>
      <c r="G146" s="1">
        <v>0</v>
      </c>
      <c r="H146" s="1">
        <v>9</v>
      </c>
      <c r="I146" s="9">
        <f t="shared" si="3"/>
        <v>9</v>
      </c>
      <c r="J146" s="1">
        <v>3.92</v>
      </c>
      <c r="K146" s="35" t="s">
        <v>645</v>
      </c>
      <c r="L146" s="2">
        <v>46076</v>
      </c>
      <c r="M146" s="1" t="s">
        <v>6</v>
      </c>
      <c r="N146" s="2">
        <v>46078</v>
      </c>
      <c r="O146" s="3">
        <f>NETWORKDAYS(L146,N146,[1]Holidays!$B$2:$B$16)</f>
        <v>3</v>
      </c>
      <c r="P146" s="1" t="s">
        <v>7</v>
      </c>
    </row>
    <row r="147" spans="1:16">
      <c r="A147" s="1" t="s">
        <v>646</v>
      </c>
      <c r="B147" s="1" t="s">
        <v>1</v>
      </c>
      <c r="C147" s="1" t="s">
        <v>79</v>
      </c>
      <c r="D147" s="1" t="s">
        <v>647</v>
      </c>
      <c r="E147" s="39" t="s">
        <v>648</v>
      </c>
      <c r="F147" s="1" t="s">
        <v>649</v>
      </c>
      <c r="G147" s="1">
        <v>1</v>
      </c>
      <c r="H147" s="1">
        <v>10</v>
      </c>
      <c r="I147" s="9">
        <f t="shared" si="3"/>
        <v>11</v>
      </c>
      <c r="J147" s="1">
        <v>3.92</v>
      </c>
      <c r="K147" s="35" t="s">
        <v>650</v>
      </c>
      <c r="L147" s="2">
        <v>46076</v>
      </c>
      <c r="M147" s="1" t="s">
        <v>6</v>
      </c>
      <c r="N147" s="2">
        <v>46078</v>
      </c>
      <c r="O147" s="3">
        <f>NETWORKDAYS(L147,N147,[1]Holidays!$B$2:$B$16)</f>
        <v>3</v>
      </c>
      <c r="P147" s="1" t="s">
        <v>494</v>
      </c>
    </row>
    <row r="148" spans="1:16">
      <c r="A148" s="1" t="s">
        <v>651</v>
      </c>
      <c r="B148" s="1" t="s">
        <v>254</v>
      </c>
      <c r="C148" s="1" t="s">
        <v>652</v>
      </c>
      <c r="D148" s="1" t="s">
        <v>653</v>
      </c>
      <c r="E148" s="39" t="s">
        <v>654</v>
      </c>
      <c r="F148" s="1" t="s">
        <v>655</v>
      </c>
      <c r="G148" s="1">
        <v>55</v>
      </c>
      <c r="H148" s="1">
        <v>179</v>
      </c>
      <c r="I148" s="9">
        <f t="shared" si="3"/>
        <v>234</v>
      </c>
      <c r="J148" s="1">
        <v>3.92</v>
      </c>
      <c r="K148" s="42" t="s">
        <v>656</v>
      </c>
      <c r="L148" s="2">
        <v>46076</v>
      </c>
      <c r="M148" s="1" t="s">
        <v>6</v>
      </c>
      <c r="N148" s="2">
        <v>46078</v>
      </c>
      <c r="O148" s="3">
        <f>NETWORKDAYS(L148,N148,[1]Holidays!$B$2:$B$16)</f>
        <v>3</v>
      </c>
      <c r="P148" s="1" t="s">
        <v>657</v>
      </c>
    </row>
    <row r="149" spans="1:16">
      <c r="A149" s="1" t="s">
        <v>658</v>
      </c>
      <c r="B149" s="1" t="s">
        <v>254</v>
      </c>
      <c r="C149" s="1" t="s">
        <v>659</v>
      </c>
      <c r="D149" s="1" t="s">
        <v>660</v>
      </c>
      <c r="E149" s="43">
        <v>46101</v>
      </c>
      <c r="F149" s="1"/>
      <c r="G149" s="1">
        <v>0</v>
      </c>
      <c r="H149" s="1">
        <v>40</v>
      </c>
      <c r="I149" s="9">
        <f t="shared" si="3"/>
        <v>40</v>
      </c>
      <c r="J149" s="1"/>
      <c r="K149" s="21" t="s">
        <v>661</v>
      </c>
      <c r="L149" s="2">
        <v>46076</v>
      </c>
      <c r="M149" s="39" t="s">
        <v>6</v>
      </c>
      <c r="N149" s="2">
        <v>46078</v>
      </c>
      <c r="O149" s="3">
        <f>NETWORKDAYS(L149,N149,[1]Holidays!$B$2:$B$16)</f>
        <v>3</v>
      </c>
      <c r="P149" s="1" t="s">
        <v>7</v>
      </c>
    </row>
    <row r="150" spans="1:16">
      <c r="A150" s="1" t="s">
        <v>662</v>
      </c>
      <c r="B150" s="1" t="s">
        <v>1</v>
      </c>
      <c r="C150" s="1" t="s">
        <v>154</v>
      </c>
      <c r="D150" s="1" t="s">
        <v>663</v>
      </c>
      <c r="E150" s="43">
        <v>46066</v>
      </c>
      <c r="F150" s="1" t="s">
        <v>664</v>
      </c>
      <c r="G150" s="1">
        <v>8</v>
      </c>
      <c r="H150" s="1">
        <v>73</v>
      </c>
      <c r="I150" s="9">
        <v>81</v>
      </c>
      <c r="J150" s="1">
        <v>3.92</v>
      </c>
      <c r="K150" s="1" t="s">
        <v>665</v>
      </c>
      <c r="L150" s="2">
        <v>46077</v>
      </c>
      <c r="M150" s="1" t="s">
        <v>6</v>
      </c>
      <c r="N150" s="2">
        <v>46078</v>
      </c>
      <c r="O150" s="3">
        <f>NETWORKDAYS(L150,N150,[1]Holidays!$B$2:$B$16)</f>
        <v>2</v>
      </c>
      <c r="P150" s="1" t="s">
        <v>7</v>
      </c>
    </row>
    <row r="151" spans="1:16">
      <c r="A151" s="1" t="s">
        <v>666</v>
      </c>
      <c r="B151" s="1" t="s">
        <v>1</v>
      </c>
      <c r="C151" s="1" t="s">
        <v>667</v>
      </c>
      <c r="D151" s="1" t="s">
        <v>668</v>
      </c>
      <c r="E151" s="43">
        <v>46086</v>
      </c>
      <c r="F151" s="1" t="s">
        <v>669</v>
      </c>
      <c r="G151" s="39">
        <v>0</v>
      </c>
      <c r="H151" s="39">
        <v>28</v>
      </c>
      <c r="I151" s="9">
        <f t="shared" si="3"/>
        <v>28</v>
      </c>
      <c r="J151" s="1">
        <v>3.85</v>
      </c>
      <c r="K151" s="21" t="s">
        <v>670</v>
      </c>
      <c r="L151" s="2">
        <v>46077</v>
      </c>
      <c r="M151" s="1" t="s">
        <v>6</v>
      </c>
      <c r="N151" s="2">
        <v>46078</v>
      </c>
      <c r="O151" s="3">
        <f>NETWORKDAYS(L151,N151,[1]Holidays!$B$2:$B$16)</f>
        <v>2</v>
      </c>
      <c r="P151" s="1" t="s">
        <v>671</v>
      </c>
    </row>
    <row r="152" spans="1:16">
      <c r="A152" s="1" t="s">
        <v>672</v>
      </c>
      <c r="B152" s="1" t="s">
        <v>1</v>
      </c>
      <c r="C152" s="1" t="s">
        <v>673</v>
      </c>
      <c r="D152" s="1" t="s">
        <v>674</v>
      </c>
      <c r="E152" s="39" t="s">
        <v>675</v>
      </c>
      <c r="F152" s="1" t="s">
        <v>676</v>
      </c>
      <c r="G152" s="1">
        <v>2</v>
      </c>
      <c r="H152" s="1">
        <v>24</v>
      </c>
      <c r="I152" s="9">
        <f t="shared" si="3"/>
        <v>26</v>
      </c>
      <c r="J152" s="1">
        <v>3.85</v>
      </c>
      <c r="K152" s="21" t="s">
        <v>677</v>
      </c>
      <c r="L152" s="2">
        <v>46077</v>
      </c>
      <c r="M152" s="1" t="s">
        <v>6</v>
      </c>
      <c r="N152" s="2">
        <v>46078</v>
      </c>
      <c r="O152" s="3">
        <f>NETWORKDAYS(L152,N152,[1]Holidays!$B$2:$B$16)</f>
        <v>2</v>
      </c>
      <c r="P152" s="1" t="s">
        <v>7</v>
      </c>
    </row>
    <row r="153" spans="1:16">
      <c r="A153" s="1" t="s">
        <v>678</v>
      </c>
      <c r="B153" s="1" t="s">
        <v>1</v>
      </c>
      <c r="C153" s="1" t="s">
        <v>360</v>
      </c>
      <c r="D153" s="1" t="s">
        <v>679</v>
      </c>
      <c r="E153" s="1" t="s">
        <v>680</v>
      </c>
      <c r="F153" s="1" t="s">
        <v>166</v>
      </c>
      <c r="G153" s="1">
        <v>2</v>
      </c>
      <c r="H153" s="1">
        <v>26</v>
      </c>
      <c r="I153" s="9">
        <f t="shared" si="3"/>
        <v>28</v>
      </c>
      <c r="J153" s="1">
        <v>3.85</v>
      </c>
      <c r="K153" s="1" t="s">
        <v>681</v>
      </c>
      <c r="L153" s="2">
        <v>46077</v>
      </c>
      <c r="M153" s="1" t="s">
        <v>6</v>
      </c>
      <c r="N153" s="2">
        <v>46078</v>
      </c>
      <c r="O153" s="3">
        <f>NETWORKDAYS(L153,N153,[1]Holidays!$B$2:$B$16)</f>
        <v>2</v>
      </c>
      <c r="P153" s="1" t="s">
        <v>682</v>
      </c>
    </row>
    <row r="154" spans="1:16">
      <c r="A154" s="1" t="s">
        <v>683</v>
      </c>
      <c r="B154" s="1" t="s">
        <v>1</v>
      </c>
      <c r="C154" s="1" t="s">
        <v>40</v>
      </c>
      <c r="D154" s="1" t="s">
        <v>684</v>
      </c>
      <c r="E154" s="43" t="s">
        <v>685</v>
      </c>
      <c r="F154" s="1" t="s">
        <v>686</v>
      </c>
      <c r="G154" s="1">
        <v>2</v>
      </c>
      <c r="H154" s="1">
        <v>7</v>
      </c>
      <c r="I154" s="9">
        <f t="shared" si="3"/>
        <v>9</v>
      </c>
      <c r="J154" s="1">
        <v>3.85</v>
      </c>
      <c r="K154" s="1" t="s">
        <v>687</v>
      </c>
      <c r="L154" s="2">
        <v>46077</v>
      </c>
      <c r="M154" s="1" t="s">
        <v>6</v>
      </c>
      <c r="N154" s="2">
        <v>46078</v>
      </c>
      <c r="O154" s="3">
        <f>NETWORKDAYS(L154,N154,[1]Holidays!$B$2:$B$16)</f>
        <v>2</v>
      </c>
      <c r="P154" s="1" t="s">
        <v>48</v>
      </c>
    </row>
    <row r="155" spans="1:16">
      <c r="A155" s="1" t="s">
        <v>688</v>
      </c>
      <c r="B155" s="1" t="s">
        <v>1</v>
      </c>
      <c r="C155" s="1" t="s">
        <v>689</v>
      </c>
      <c r="D155" s="1" t="s">
        <v>690</v>
      </c>
      <c r="E155" s="39" t="s">
        <v>435</v>
      </c>
      <c r="F155" s="1" t="s">
        <v>368</v>
      </c>
      <c r="G155" s="1">
        <v>4</v>
      </c>
      <c r="H155" s="1">
        <v>19</v>
      </c>
      <c r="I155" s="9">
        <f t="shared" si="3"/>
        <v>23</v>
      </c>
      <c r="J155" s="1">
        <v>3.92</v>
      </c>
      <c r="K155" s="21" t="s">
        <v>691</v>
      </c>
      <c r="L155" s="2">
        <v>46077</v>
      </c>
      <c r="M155" s="1" t="s">
        <v>6</v>
      </c>
      <c r="N155" s="2">
        <v>46078</v>
      </c>
      <c r="O155" s="3">
        <f>NETWORKDAYS(L155,N155,[1]Holidays!$B$2:$B$16)</f>
        <v>2</v>
      </c>
      <c r="P155" s="1" t="s">
        <v>7</v>
      </c>
    </row>
    <row r="156" spans="1:16">
      <c r="A156" s="1" t="s">
        <v>692</v>
      </c>
      <c r="B156" s="1" t="s">
        <v>254</v>
      </c>
      <c r="C156" s="1" t="s">
        <v>277</v>
      </c>
      <c r="D156" s="1" t="s">
        <v>693</v>
      </c>
      <c r="E156" s="43">
        <v>46088</v>
      </c>
      <c r="F156" s="1" t="s">
        <v>694</v>
      </c>
      <c r="G156" s="1">
        <v>8</v>
      </c>
      <c r="H156" s="1">
        <v>44</v>
      </c>
      <c r="I156" s="9">
        <v>52</v>
      </c>
      <c r="J156" s="1">
        <v>3.92</v>
      </c>
      <c r="K156" s="21" t="s">
        <v>695</v>
      </c>
      <c r="L156" s="2">
        <v>46078</v>
      </c>
      <c r="M156" s="1" t="s">
        <v>6</v>
      </c>
      <c r="N156" s="2">
        <v>46080</v>
      </c>
      <c r="O156" s="3">
        <f>NETWORKDAYS(L156,N156,[1]Holidays!$B$2:$B$16)</f>
        <v>3</v>
      </c>
      <c r="P156" s="1" t="s">
        <v>696</v>
      </c>
    </row>
    <row r="157" spans="1:16">
      <c r="A157" s="1" t="s">
        <v>697</v>
      </c>
      <c r="B157" s="1" t="s">
        <v>1</v>
      </c>
      <c r="C157" s="1" t="s">
        <v>698</v>
      </c>
      <c r="D157" s="1" t="s">
        <v>699</v>
      </c>
      <c r="E157" s="39" t="s">
        <v>330</v>
      </c>
      <c r="F157" s="1" t="s">
        <v>700</v>
      </c>
      <c r="G157" s="39">
        <v>0</v>
      </c>
      <c r="H157" s="39">
        <v>28</v>
      </c>
      <c r="I157" s="9">
        <f t="shared" si="3"/>
        <v>28</v>
      </c>
      <c r="J157" s="1">
        <v>3.5</v>
      </c>
      <c r="K157" s="21" t="s">
        <v>701</v>
      </c>
      <c r="L157" s="2">
        <v>46079</v>
      </c>
      <c r="M157" s="1" t="s">
        <v>6</v>
      </c>
      <c r="N157" s="2">
        <v>46080</v>
      </c>
      <c r="O157" s="3">
        <f>NETWORKDAYS(L157,N157,[1]Holidays!$B$2:$B$16)</f>
        <v>2</v>
      </c>
      <c r="P157" s="1" t="s">
        <v>702</v>
      </c>
    </row>
    <row r="158" spans="1:16">
      <c r="A158" s="1" t="s">
        <v>703</v>
      </c>
      <c r="B158" s="1" t="s">
        <v>254</v>
      </c>
      <c r="C158" s="1" t="s">
        <v>277</v>
      </c>
      <c r="D158" s="1" t="s">
        <v>704</v>
      </c>
      <c r="E158" s="43">
        <v>46086</v>
      </c>
      <c r="F158" s="1" t="s">
        <v>705</v>
      </c>
      <c r="G158" s="39">
        <v>4</v>
      </c>
      <c r="H158" s="39">
        <v>38</v>
      </c>
      <c r="I158" s="9">
        <f t="shared" si="3"/>
        <v>42</v>
      </c>
      <c r="J158" s="1">
        <v>3.85</v>
      </c>
      <c r="K158" s="21" t="s">
        <v>706</v>
      </c>
      <c r="L158" s="2">
        <v>46079</v>
      </c>
      <c r="M158" s="1" t="s">
        <v>6</v>
      </c>
      <c r="N158" s="2">
        <v>46080</v>
      </c>
      <c r="O158" s="3">
        <f>NETWORKDAYS(L158,N158,[1]Holidays!$B$2:$B$16)</f>
        <v>2</v>
      </c>
      <c r="P158" s="1" t="s">
        <v>707</v>
      </c>
    </row>
    <row r="159" spans="1:16">
      <c r="A159" s="1" t="s">
        <v>708</v>
      </c>
      <c r="B159" s="1" t="s">
        <v>1</v>
      </c>
      <c r="C159" s="1" t="s">
        <v>175</v>
      </c>
      <c r="D159" s="1" t="s">
        <v>709</v>
      </c>
      <c r="E159" s="43">
        <v>46087</v>
      </c>
      <c r="F159" s="1" t="s">
        <v>710</v>
      </c>
      <c r="G159" s="39">
        <v>0</v>
      </c>
      <c r="H159" s="39">
        <v>10</v>
      </c>
      <c r="I159" s="9">
        <f t="shared" si="3"/>
        <v>10</v>
      </c>
      <c r="J159" s="1">
        <v>3.85</v>
      </c>
      <c r="K159" s="39" t="s">
        <v>711</v>
      </c>
      <c r="L159" s="2">
        <v>46079</v>
      </c>
      <c r="M159" s="1" t="s">
        <v>6</v>
      </c>
      <c r="N159" s="2">
        <v>46080</v>
      </c>
      <c r="O159" s="3">
        <f>NETWORKDAYS(L159,N159,[1]Holidays!$B$2:$B$16)</f>
        <v>2</v>
      </c>
      <c r="P159" s="1" t="s">
        <v>712</v>
      </c>
    </row>
    <row r="160" spans="1:16">
      <c r="A160" s="1"/>
      <c r="B160" s="1"/>
      <c r="C160" s="1"/>
      <c r="D160" s="1"/>
      <c r="E160" s="43"/>
      <c r="F160" s="1"/>
      <c r="G160" s="39"/>
      <c r="H160" s="39"/>
      <c r="I160" s="9"/>
      <c r="J160" s="1"/>
      <c r="K160" s="39"/>
      <c r="L160" s="2"/>
      <c r="M160" s="1"/>
      <c r="N160" s="2"/>
      <c r="O160" s="3"/>
      <c r="P160" s="1"/>
    </row>
    <row r="161" spans="1:16">
      <c r="A161" s="1" t="s">
        <v>713</v>
      </c>
      <c r="B161" s="1" t="s">
        <v>1</v>
      </c>
      <c r="C161" s="1" t="s">
        <v>175</v>
      </c>
      <c r="D161" s="1" t="s">
        <v>714</v>
      </c>
      <c r="E161" s="43">
        <v>46085</v>
      </c>
      <c r="F161" s="1" t="s">
        <v>715</v>
      </c>
      <c r="G161" s="39">
        <v>0</v>
      </c>
      <c r="H161" s="39">
        <v>10</v>
      </c>
      <c r="I161" s="9">
        <f t="shared" si="3"/>
        <v>10</v>
      </c>
      <c r="J161" s="1">
        <v>3.85</v>
      </c>
      <c r="K161" s="39" t="s">
        <v>716</v>
      </c>
      <c r="L161" s="2">
        <v>46079</v>
      </c>
      <c r="M161" s="1" t="s">
        <v>6</v>
      </c>
      <c r="N161" s="2">
        <v>46080</v>
      </c>
      <c r="O161" s="3">
        <f>NETWORKDAYS(L161,N161,[1]Holidays!$B$2:$B$16)</f>
        <v>2</v>
      </c>
      <c r="P161" s="1" t="s">
        <v>712</v>
      </c>
    </row>
    <row r="162" spans="1:16">
      <c r="A162" s="1" t="s">
        <v>717</v>
      </c>
      <c r="B162" s="1" t="s">
        <v>1</v>
      </c>
      <c r="C162" s="1" t="s">
        <v>175</v>
      </c>
      <c r="D162" s="1" t="s">
        <v>718</v>
      </c>
      <c r="E162" s="43">
        <v>46083</v>
      </c>
      <c r="F162" s="1" t="s">
        <v>710</v>
      </c>
      <c r="G162" s="39">
        <v>0</v>
      </c>
      <c r="H162" s="39">
        <v>10</v>
      </c>
      <c r="I162" s="9">
        <f t="shared" si="3"/>
        <v>10</v>
      </c>
      <c r="J162" s="1">
        <v>3.85</v>
      </c>
      <c r="K162" s="39" t="s">
        <v>719</v>
      </c>
      <c r="L162" s="2">
        <v>46079</v>
      </c>
      <c r="M162" s="1" t="s">
        <v>6</v>
      </c>
      <c r="N162" s="2">
        <v>46080</v>
      </c>
      <c r="O162" s="3">
        <f>NETWORKDAYS(L162,N162,[1]Holidays!$B$2:$B$16)</f>
        <v>2</v>
      </c>
      <c r="P162" s="1" t="s">
        <v>712</v>
      </c>
    </row>
    <row r="163" spans="1:16">
      <c r="A163" s="1" t="s">
        <v>720</v>
      </c>
      <c r="B163" s="1" t="s">
        <v>1</v>
      </c>
      <c r="C163" s="1" t="s">
        <v>21</v>
      </c>
      <c r="D163" s="1" t="s">
        <v>721</v>
      </c>
      <c r="E163" s="43">
        <v>46084</v>
      </c>
      <c r="F163" s="1" t="s">
        <v>722</v>
      </c>
      <c r="G163" s="39">
        <v>0</v>
      </c>
      <c r="H163" s="39">
        <v>14</v>
      </c>
      <c r="I163" s="9">
        <f t="shared" si="3"/>
        <v>14</v>
      </c>
      <c r="J163" s="1">
        <v>3.85</v>
      </c>
      <c r="K163" s="39" t="s">
        <v>723</v>
      </c>
      <c r="L163" s="2">
        <v>46079</v>
      </c>
      <c r="M163" s="1" t="s">
        <v>6</v>
      </c>
      <c r="N163" s="2">
        <v>46080</v>
      </c>
      <c r="O163" s="3">
        <f>NETWORKDAYS(L163,N163,[1]Holidays!$B$2:$B$16)</f>
        <v>2</v>
      </c>
      <c r="P163" s="1" t="s">
        <v>724</v>
      </c>
    </row>
    <row r="164" spans="1:16">
      <c r="A164" s="1" t="s">
        <v>725</v>
      </c>
      <c r="B164" s="1" t="s">
        <v>1</v>
      </c>
      <c r="C164" s="1" t="s">
        <v>21</v>
      </c>
      <c r="D164" s="1" t="s">
        <v>726</v>
      </c>
      <c r="E164" s="43">
        <v>46086</v>
      </c>
      <c r="F164" s="1" t="s">
        <v>710</v>
      </c>
      <c r="G164" s="39">
        <v>2</v>
      </c>
      <c r="H164" s="39">
        <v>21</v>
      </c>
      <c r="I164" s="9">
        <f t="shared" si="3"/>
        <v>23</v>
      </c>
      <c r="J164" s="1">
        <v>3.85</v>
      </c>
      <c r="K164" s="1" t="s">
        <v>726</v>
      </c>
      <c r="L164" s="2">
        <v>46079</v>
      </c>
      <c r="M164" s="1" t="s">
        <v>6</v>
      </c>
      <c r="N164" s="2">
        <v>46080</v>
      </c>
      <c r="O164" s="3">
        <f>NETWORKDAYS(L164,N164,[1]Holidays!$B$2:$B$16)</f>
        <v>2</v>
      </c>
      <c r="P164" s="1" t="s">
        <v>724</v>
      </c>
    </row>
    <row r="165" spans="1:16">
      <c r="A165" s="1" t="s">
        <v>727</v>
      </c>
      <c r="B165" s="1" t="s">
        <v>1</v>
      </c>
      <c r="C165" s="1" t="s">
        <v>21</v>
      </c>
      <c r="D165" s="1" t="s">
        <v>728</v>
      </c>
      <c r="E165" s="43">
        <v>46083</v>
      </c>
      <c r="F165" s="1" t="s">
        <v>710</v>
      </c>
      <c r="G165" s="39">
        <v>0</v>
      </c>
      <c r="H165" s="39">
        <v>14</v>
      </c>
      <c r="I165" s="9">
        <f t="shared" si="3"/>
        <v>14</v>
      </c>
      <c r="J165" s="1">
        <v>3.85</v>
      </c>
      <c r="K165" s="39" t="s">
        <v>729</v>
      </c>
      <c r="L165" s="2">
        <v>46079</v>
      </c>
      <c r="M165" s="1" t="s">
        <v>6</v>
      </c>
      <c r="N165" s="2">
        <v>46080</v>
      </c>
      <c r="O165" s="3">
        <f>NETWORKDAYS(L165,N165,[1]Holidays!$B$2:$B$16)</f>
        <v>2</v>
      </c>
      <c r="P165" s="1" t="s">
        <v>724</v>
      </c>
    </row>
    <row r="166" spans="1:16">
      <c r="A166" s="1" t="s">
        <v>730</v>
      </c>
      <c r="B166" s="1" t="s">
        <v>1</v>
      </c>
      <c r="C166" s="1" t="s">
        <v>277</v>
      </c>
      <c r="D166" s="1" t="s">
        <v>731</v>
      </c>
      <c r="E166" s="39" t="s">
        <v>732</v>
      </c>
      <c r="F166" s="1" t="s">
        <v>733</v>
      </c>
      <c r="G166" s="39">
        <v>3</v>
      </c>
      <c r="H166" s="39">
        <v>20</v>
      </c>
      <c r="I166" s="9">
        <f t="shared" si="3"/>
        <v>23</v>
      </c>
      <c r="J166" s="1">
        <v>3.78</v>
      </c>
      <c r="K166" s="21" t="s">
        <v>734</v>
      </c>
      <c r="L166" s="2">
        <v>46079</v>
      </c>
      <c r="M166" s="1" t="s">
        <v>6</v>
      </c>
      <c r="N166" s="2">
        <v>46080</v>
      </c>
      <c r="O166" s="3">
        <f>NETWORKDAYS(L166,N166,[1]Holidays!$B$2:$B$16)</f>
        <v>2</v>
      </c>
      <c r="P166" s="1" t="s">
        <v>707</v>
      </c>
    </row>
    <row r="167" spans="1:16">
      <c r="A167" s="1" t="s">
        <v>735</v>
      </c>
      <c r="B167" s="1" t="s">
        <v>1</v>
      </c>
      <c r="C167" s="1" t="s">
        <v>328</v>
      </c>
      <c r="D167" s="1" t="s">
        <v>736</v>
      </c>
      <c r="E167" s="39" t="s">
        <v>680</v>
      </c>
      <c r="F167" s="1" t="s">
        <v>737</v>
      </c>
      <c r="G167" s="39">
        <v>1</v>
      </c>
      <c r="H167" s="39">
        <v>40</v>
      </c>
      <c r="I167" s="9">
        <f t="shared" si="3"/>
        <v>41</v>
      </c>
      <c r="J167" s="1">
        <v>3.92</v>
      </c>
      <c r="K167" s="39" t="s">
        <v>738</v>
      </c>
      <c r="L167" s="2">
        <v>46079</v>
      </c>
      <c r="M167" s="1" t="s">
        <v>6</v>
      </c>
      <c r="N167" s="2">
        <v>46080</v>
      </c>
      <c r="O167" s="3">
        <f>NETWORKDAYS(L167,N167,[1]Holidays!$B$2:$B$16)</f>
        <v>2</v>
      </c>
      <c r="P167" s="1" t="s">
        <v>739</v>
      </c>
    </row>
    <row r="168" spans="1:16">
      <c r="A168" s="1" t="s">
        <v>740</v>
      </c>
      <c r="B168" s="1" t="s">
        <v>1</v>
      </c>
      <c r="C168" s="1" t="s">
        <v>451</v>
      </c>
      <c r="D168" s="1" t="s">
        <v>741</v>
      </c>
      <c r="E168" s="39" t="s">
        <v>145</v>
      </c>
      <c r="F168" s="1" t="s">
        <v>742</v>
      </c>
      <c r="G168" s="39">
        <v>30</v>
      </c>
      <c r="H168" s="39">
        <v>76</v>
      </c>
      <c r="I168" s="9">
        <f t="shared" si="3"/>
        <v>106</v>
      </c>
      <c r="J168" s="1">
        <v>3.92</v>
      </c>
      <c r="K168" s="39" t="s">
        <v>743</v>
      </c>
      <c r="L168" s="2">
        <v>46080</v>
      </c>
      <c r="M168" s="1" t="s">
        <v>6</v>
      </c>
      <c r="N168" s="2">
        <v>46080</v>
      </c>
      <c r="O168" s="3">
        <f>NETWORKDAYS(L168,N168,[1]Holidays!$B$2:$B$16)</f>
        <v>1</v>
      </c>
      <c r="P168" s="1" t="s">
        <v>744</v>
      </c>
    </row>
    <row r="169" spans="1:16">
      <c r="A169" s="1" t="s">
        <v>745</v>
      </c>
      <c r="B169" s="1" t="s">
        <v>254</v>
      </c>
      <c r="C169" s="1" t="s">
        <v>451</v>
      </c>
      <c r="D169" s="1" t="s">
        <v>746</v>
      </c>
      <c r="E169" s="43" t="s">
        <v>747</v>
      </c>
      <c r="F169" s="1" t="s">
        <v>742</v>
      </c>
      <c r="G169" s="39">
        <v>37</v>
      </c>
      <c r="H169" s="39">
        <v>88</v>
      </c>
      <c r="I169" s="9">
        <f t="shared" si="3"/>
        <v>125</v>
      </c>
      <c r="J169" s="1"/>
      <c r="K169" s="21" t="s">
        <v>748</v>
      </c>
      <c r="L169" s="2">
        <v>46083</v>
      </c>
      <c r="M169" s="1" t="s">
        <v>6</v>
      </c>
      <c r="N169" s="2">
        <v>46086</v>
      </c>
      <c r="O169" s="3">
        <v>3</v>
      </c>
      <c r="P169" s="1"/>
    </row>
    <row r="170" spans="1:16">
      <c r="A170" s="1" t="s">
        <v>749</v>
      </c>
      <c r="B170" s="1" t="s">
        <v>1</v>
      </c>
      <c r="C170" s="1" t="s">
        <v>120</v>
      </c>
      <c r="D170" s="1" t="s">
        <v>750</v>
      </c>
      <c r="E170" s="43">
        <v>46087</v>
      </c>
      <c r="F170" s="1" t="s">
        <v>130</v>
      </c>
      <c r="G170" s="39">
        <v>0</v>
      </c>
      <c r="H170" s="39">
        <v>9</v>
      </c>
      <c r="I170" s="9">
        <f>SUM(G170:H170)</f>
        <v>9</v>
      </c>
      <c r="J170" s="1">
        <v>3.92</v>
      </c>
      <c r="K170" s="39" t="s">
        <v>751</v>
      </c>
      <c r="L170" s="2">
        <v>46083</v>
      </c>
      <c r="M170" s="1" t="s">
        <v>6</v>
      </c>
      <c r="N170" s="2">
        <v>46086</v>
      </c>
      <c r="O170" s="3">
        <v>3</v>
      </c>
      <c r="P170" s="1" t="s">
        <v>752</v>
      </c>
    </row>
    <row r="171" spans="1:16">
      <c r="A171" s="1" t="s">
        <v>753</v>
      </c>
      <c r="B171" s="1" t="s">
        <v>254</v>
      </c>
      <c r="C171" s="1" t="s">
        <v>9</v>
      </c>
      <c r="D171" s="1" t="s">
        <v>754</v>
      </c>
      <c r="E171" s="39" t="s">
        <v>755</v>
      </c>
      <c r="F171" s="1"/>
      <c r="G171" s="39">
        <v>23</v>
      </c>
      <c r="H171" s="39">
        <v>30</v>
      </c>
      <c r="I171" s="9">
        <f>SUM(G171:H171)</f>
        <v>53</v>
      </c>
      <c r="J171" s="1" t="s">
        <v>756</v>
      </c>
      <c r="K171" s="21" t="s">
        <v>540</v>
      </c>
      <c r="L171" s="2">
        <v>46084</v>
      </c>
      <c r="M171" s="18" t="s">
        <v>6</v>
      </c>
      <c r="N171" s="2">
        <v>46086</v>
      </c>
      <c r="O171" s="3">
        <v>2</v>
      </c>
      <c r="P171" s="1" t="s">
        <v>757</v>
      </c>
    </row>
    <row r="172" spans="1:16">
      <c r="A172" s="1" t="s">
        <v>758</v>
      </c>
      <c r="B172" s="1" t="s">
        <v>1</v>
      </c>
      <c r="C172" s="1" t="s">
        <v>175</v>
      </c>
      <c r="D172" s="1" t="s">
        <v>759</v>
      </c>
      <c r="E172" s="39" t="s">
        <v>760</v>
      </c>
      <c r="F172" s="1" t="s">
        <v>761</v>
      </c>
      <c r="G172" s="39">
        <v>1</v>
      </c>
      <c r="H172" s="39">
        <v>30</v>
      </c>
      <c r="I172" s="9">
        <f t="shared" ref="I172:I218" si="4">SUM(G172:H172)</f>
        <v>31</v>
      </c>
      <c r="J172" s="1">
        <v>3.78</v>
      </c>
      <c r="K172" s="39" t="s">
        <v>762</v>
      </c>
      <c r="L172" s="2">
        <v>46084</v>
      </c>
      <c r="M172" s="1" t="s">
        <v>6</v>
      </c>
      <c r="N172" s="2">
        <v>46086</v>
      </c>
      <c r="O172" s="3">
        <f>NETWORKDAYS(L172,N172,[1]Holidays!$B$2:$B$16)</f>
        <v>3</v>
      </c>
      <c r="P172" s="1" t="s">
        <v>763</v>
      </c>
    </row>
    <row r="173" spans="1:16">
      <c r="A173" s="1" t="s">
        <v>764</v>
      </c>
      <c r="B173" s="1" t="s">
        <v>254</v>
      </c>
      <c r="C173" s="1" t="s">
        <v>765</v>
      </c>
      <c r="D173" s="1" t="s">
        <v>766</v>
      </c>
      <c r="E173" s="45" t="s">
        <v>767</v>
      </c>
      <c r="F173" s="1" t="s">
        <v>765</v>
      </c>
      <c r="G173" s="39">
        <v>10</v>
      </c>
      <c r="H173" s="39">
        <v>28</v>
      </c>
      <c r="I173" s="9">
        <f t="shared" si="4"/>
        <v>38</v>
      </c>
      <c r="J173" s="1" t="s">
        <v>756</v>
      </c>
      <c r="K173" s="39" t="s">
        <v>768</v>
      </c>
      <c r="L173" s="2">
        <v>46084</v>
      </c>
      <c r="M173" s="1" t="s">
        <v>6</v>
      </c>
      <c r="N173" s="2">
        <v>46086</v>
      </c>
      <c r="O173" s="3">
        <f>NETWORKDAYS(L173,N173,[1]Holidays!$B$2:$B$16)</f>
        <v>3</v>
      </c>
      <c r="P173" s="1" t="s">
        <v>769</v>
      </c>
    </row>
    <row r="174" spans="1:16">
      <c r="A174" s="1" t="s">
        <v>770</v>
      </c>
      <c r="B174" s="1" t="s">
        <v>1</v>
      </c>
      <c r="C174" s="1" t="s">
        <v>659</v>
      </c>
      <c r="D174" s="1" t="s">
        <v>771</v>
      </c>
      <c r="E174" s="39" t="s">
        <v>772</v>
      </c>
      <c r="F174" s="1" t="s">
        <v>773</v>
      </c>
      <c r="G174" s="39">
        <v>7</v>
      </c>
      <c r="H174" s="39">
        <v>8</v>
      </c>
      <c r="I174" s="9">
        <f t="shared" si="4"/>
        <v>15</v>
      </c>
      <c r="J174" s="1">
        <v>3.92</v>
      </c>
      <c r="K174" s="39" t="s">
        <v>774</v>
      </c>
      <c r="L174" s="2">
        <v>46084</v>
      </c>
      <c r="M174" s="1" t="s">
        <v>6</v>
      </c>
      <c r="N174" s="2">
        <v>46086</v>
      </c>
      <c r="O174" s="3">
        <f>NETWORKDAYS(L174,N174,[1]Holidays!$B$2:$B$16)</f>
        <v>3</v>
      </c>
      <c r="P174" s="1" t="s">
        <v>775</v>
      </c>
    </row>
    <row r="175" spans="1:16">
      <c r="A175" s="1" t="s">
        <v>776</v>
      </c>
      <c r="B175" s="1" t="s">
        <v>1</v>
      </c>
      <c r="C175" s="1" t="s">
        <v>667</v>
      </c>
      <c r="D175" s="1" t="s">
        <v>777</v>
      </c>
      <c r="E175" s="39" t="s">
        <v>778</v>
      </c>
      <c r="F175" s="1" t="s">
        <v>779</v>
      </c>
      <c r="G175" s="39">
        <v>3</v>
      </c>
      <c r="H175" s="39">
        <v>46</v>
      </c>
      <c r="I175" s="9">
        <f t="shared" si="4"/>
        <v>49</v>
      </c>
      <c r="J175" s="1">
        <v>3.71</v>
      </c>
      <c r="K175" s="21" t="s">
        <v>780</v>
      </c>
      <c r="L175" s="2">
        <v>46084</v>
      </c>
      <c r="M175" s="1" t="s">
        <v>6</v>
      </c>
      <c r="N175" s="2">
        <v>46086</v>
      </c>
      <c r="O175" s="3">
        <f>NETWORKDAYS(L175,N175,[1]Holidays!$B$2:$B$16)</f>
        <v>3</v>
      </c>
      <c r="P175" s="1"/>
    </row>
    <row r="176" spans="1:16">
      <c r="A176" s="1" t="s">
        <v>781</v>
      </c>
      <c r="B176" s="1" t="s">
        <v>782</v>
      </c>
      <c r="C176" s="1" t="s">
        <v>698</v>
      </c>
      <c r="D176" s="1" t="s">
        <v>783</v>
      </c>
      <c r="E176" s="43">
        <v>46085</v>
      </c>
      <c r="F176" s="1" t="s">
        <v>698</v>
      </c>
      <c r="G176" s="21"/>
      <c r="H176" s="21"/>
      <c r="I176" s="9">
        <f t="shared" si="4"/>
        <v>0</v>
      </c>
      <c r="J176" s="1"/>
      <c r="K176" s="21"/>
      <c r="L176" s="2">
        <v>46084</v>
      </c>
      <c r="M176" s="18" t="s">
        <v>6</v>
      </c>
      <c r="N176" s="2">
        <v>46084</v>
      </c>
      <c r="O176" s="3">
        <f>NETWORKDAYS(L176,N176,[1]Holidays!$B$2:$B$16)</f>
        <v>1</v>
      </c>
      <c r="P176" s="1" t="s">
        <v>784</v>
      </c>
    </row>
    <row r="177" spans="1:16">
      <c r="A177" s="1" t="s">
        <v>785</v>
      </c>
      <c r="B177" s="1" t="s">
        <v>1</v>
      </c>
      <c r="C177" s="1" t="s">
        <v>451</v>
      </c>
      <c r="D177" s="1" t="s">
        <v>786</v>
      </c>
      <c r="E177" s="39" t="s">
        <v>186</v>
      </c>
      <c r="F177" s="1" t="s">
        <v>787</v>
      </c>
      <c r="G177" s="39">
        <v>5</v>
      </c>
      <c r="H177" s="39">
        <v>10</v>
      </c>
      <c r="I177" s="9">
        <f t="shared" si="4"/>
        <v>15</v>
      </c>
      <c r="J177" s="1"/>
      <c r="K177" s="39" t="s">
        <v>788</v>
      </c>
      <c r="L177" s="2">
        <v>46084</v>
      </c>
      <c r="M177" s="1" t="s">
        <v>789</v>
      </c>
      <c r="N177" s="2"/>
      <c r="O177" s="3">
        <f>NETWORKDAYS(L177,N177,[1]Holidays!$B$2:$B$16)</f>
        <v>-32916</v>
      </c>
      <c r="P177" s="1"/>
    </row>
    <row r="178" spans="1:16">
      <c r="A178" s="1" t="s">
        <v>790</v>
      </c>
      <c r="B178" s="1" t="s">
        <v>1</v>
      </c>
      <c r="C178" s="1" t="s">
        <v>631</v>
      </c>
      <c r="D178" s="1" t="s">
        <v>791</v>
      </c>
      <c r="E178" s="39" t="s">
        <v>792</v>
      </c>
      <c r="F178" s="1" t="s">
        <v>793</v>
      </c>
      <c r="G178" s="39">
        <v>3</v>
      </c>
      <c r="H178" s="39">
        <v>37</v>
      </c>
      <c r="I178" s="9">
        <f t="shared" si="4"/>
        <v>40</v>
      </c>
      <c r="J178" s="1">
        <v>3.71</v>
      </c>
      <c r="K178" s="39" t="s">
        <v>794</v>
      </c>
      <c r="L178" s="2">
        <v>46084</v>
      </c>
      <c r="M178" s="1" t="s">
        <v>6</v>
      </c>
      <c r="N178" s="2">
        <v>46086</v>
      </c>
      <c r="O178" s="3">
        <f>NETWORKDAYS(L178,N178,[1]Holidays!$B$2:$B$16)</f>
        <v>3</v>
      </c>
      <c r="P178" s="1"/>
    </row>
    <row r="179" spans="1:16">
      <c r="A179" s="1" t="s">
        <v>795</v>
      </c>
      <c r="B179" s="1" t="s">
        <v>1</v>
      </c>
      <c r="C179" s="1" t="s">
        <v>451</v>
      </c>
      <c r="D179" s="1" t="s">
        <v>796</v>
      </c>
      <c r="E179" s="43">
        <v>46099</v>
      </c>
      <c r="F179" s="1" t="s">
        <v>453</v>
      </c>
      <c r="G179" s="39">
        <v>8</v>
      </c>
      <c r="H179" s="39">
        <v>21</v>
      </c>
      <c r="I179" s="9">
        <f t="shared" si="4"/>
        <v>29</v>
      </c>
      <c r="J179" s="1">
        <v>3.85</v>
      </c>
      <c r="K179" s="39" t="s">
        <v>797</v>
      </c>
      <c r="L179" s="2">
        <v>46084</v>
      </c>
      <c r="M179" s="1" t="s">
        <v>6</v>
      </c>
      <c r="N179" s="2">
        <v>46086</v>
      </c>
      <c r="O179" s="3">
        <f>NETWORKDAYS(L179,N179,[1]Holidays!$B$2:$B$16)</f>
        <v>3</v>
      </c>
      <c r="P179" s="1"/>
    </row>
    <row r="180" spans="1:16">
      <c r="A180" s="1" t="s">
        <v>798</v>
      </c>
      <c r="B180" s="1" t="s">
        <v>1</v>
      </c>
      <c r="C180" s="1" t="s">
        <v>799</v>
      </c>
      <c r="D180" s="1" t="s">
        <v>800</v>
      </c>
      <c r="E180" s="39" t="s">
        <v>801</v>
      </c>
      <c r="F180" s="1" t="s">
        <v>802</v>
      </c>
      <c r="G180" s="39">
        <v>5</v>
      </c>
      <c r="H180" s="39">
        <v>7</v>
      </c>
      <c r="I180" s="9">
        <f t="shared" si="4"/>
        <v>12</v>
      </c>
      <c r="J180" s="1">
        <v>3.92</v>
      </c>
      <c r="K180" s="21" t="s">
        <v>803</v>
      </c>
      <c r="L180" s="2">
        <v>46084</v>
      </c>
      <c r="M180" s="1" t="s">
        <v>6</v>
      </c>
      <c r="N180" s="2">
        <v>46086</v>
      </c>
      <c r="O180" s="3">
        <f>NETWORKDAYS(L180,N180,[1]Holidays!$B$2:$B$16)</f>
        <v>3</v>
      </c>
      <c r="P180" s="1"/>
    </row>
    <row r="181" spans="1:16">
      <c r="A181" s="1" t="s">
        <v>804</v>
      </c>
      <c r="B181" s="1" t="s">
        <v>1</v>
      </c>
      <c r="C181" s="1" t="s">
        <v>163</v>
      </c>
      <c r="D181" s="1" t="s">
        <v>805</v>
      </c>
      <c r="E181" s="39" t="s">
        <v>806</v>
      </c>
      <c r="F181" s="1" t="s">
        <v>807</v>
      </c>
      <c r="G181" s="39">
        <v>2</v>
      </c>
      <c r="H181" s="39">
        <v>42</v>
      </c>
      <c r="I181" s="9">
        <f t="shared" si="4"/>
        <v>44</v>
      </c>
      <c r="J181" s="1">
        <v>3.85</v>
      </c>
      <c r="K181" s="39" t="s">
        <v>808</v>
      </c>
      <c r="L181" s="2">
        <v>46084</v>
      </c>
      <c r="M181" s="1" t="s">
        <v>6</v>
      </c>
      <c r="N181" s="2">
        <v>46086</v>
      </c>
      <c r="O181" s="3">
        <f>NETWORKDAYS(L181,N181,[1]Holidays!$B$2:$B$16)</f>
        <v>3</v>
      </c>
      <c r="P181" s="1"/>
    </row>
    <row r="182" spans="1:16">
      <c r="A182" s="1" t="s">
        <v>809</v>
      </c>
      <c r="B182" s="1" t="s">
        <v>1</v>
      </c>
      <c r="C182" s="1" t="s">
        <v>79</v>
      </c>
      <c r="D182" s="1" t="s">
        <v>810</v>
      </c>
      <c r="E182" s="39" t="s">
        <v>811</v>
      </c>
      <c r="F182" s="1"/>
      <c r="G182" s="39">
        <v>4</v>
      </c>
      <c r="H182" s="39">
        <v>7</v>
      </c>
      <c r="I182" s="9">
        <f t="shared" si="4"/>
        <v>11</v>
      </c>
      <c r="J182" s="1">
        <v>3.92</v>
      </c>
      <c r="K182" s="39" t="s">
        <v>812</v>
      </c>
      <c r="L182" s="2">
        <v>46085</v>
      </c>
      <c r="M182" s="1" t="s">
        <v>6</v>
      </c>
      <c r="N182" s="2">
        <v>46087</v>
      </c>
      <c r="O182" s="3">
        <f>NETWORKDAYS(L182,N182,[1]Holidays!$B$2:$B$16)</f>
        <v>3</v>
      </c>
      <c r="P182" s="1" t="s">
        <v>813</v>
      </c>
    </row>
    <row r="183" spans="1:16">
      <c r="A183" s="1" t="s">
        <v>814</v>
      </c>
      <c r="B183" s="1" t="s">
        <v>254</v>
      </c>
      <c r="C183" s="1" t="s">
        <v>698</v>
      </c>
      <c r="D183" s="1" t="s">
        <v>815</v>
      </c>
      <c r="E183" s="43">
        <v>46088</v>
      </c>
      <c r="F183" s="1" t="s">
        <v>816</v>
      </c>
      <c r="G183" s="1">
        <v>8</v>
      </c>
      <c r="H183" s="1">
        <v>41</v>
      </c>
      <c r="I183" s="9">
        <v>49</v>
      </c>
      <c r="J183" s="1">
        <v>3.78</v>
      </c>
      <c r="K183" s="21" t="s">
        <v>817</v>
      </c>
      <c r="L183" s="2">
        <v>46085</v>
      </c>
      <c r="M183" s="1" t="s">
        <v>6</v>
      </c>
      <c r="N183" s="2">
        <v>46085</v>
      </c>
      <c r="O183" s="3">
        <f>NETWORKDAYS(L183,N183,[1]Holidays!$B$2:$B$16)</f>
        <v>1</v>
      </c>
      <c r="P183" s="1" t="s">
        <v>818</v>
      </c>
    </row>
    <row r="184" spans="1:16">
      <c r="A184" s="1" t="s">
        <v>819</v>
      </c>
      <c r="B184" s="1" t="s">
        <v>1</v>
      </c>
      <c r="C184" s="1" t="s">
        <v>515</v>
      </c>
      <c r="D184" s="1" t="s">
        <v>820</v>
      </c>
      <c r="E184" s="39" t="s">
        <v>821</v>
      </c>
      <c r="F184" s="1"/>
      <c r="G184" s="39">
        <v>7</v>
      </c>
      <c r="H184" s="39">
        <v>9</v>
      </c>
      <c r="I184" s="9">
        <v>16</v>
      </c>
      <c r="J184" s="1">
        <v>3.78</v>
      </c>
      <c r="K184" s="35" t="s">
        <v>822</v>
      </c>
      <c r="L184" s="2">
        <v>46085</v>
      </c>
      <c r="M184" s="1" t="s">
        <v>230</v>
      </c>
      <c r="N184" s="2">
        <v>46087</v>
      </c>
      <c r="O184" s="3">
        <f>NETWORKDAYS(L184,N184,[1]Holidays!$B$2:$B$16)</f>
        <v>3</v>
      </c>
      <c r="P184" s="1"/>
    </row>
    <row r="185" spans="1:16">
      <c r="A185" s="1" t="s">
        <v>823</v>
      </c>
      <c r="B185" s="1" t="s">
        <v>1</v>
      </c>
      <c r="C185" s="1" t="s">
        <v>389</v>
      </c>
      <c r="D185" s="1" t="s">
        <v>824</v>
      </c>
      <c r="E185" s="39" t="s">
        <v>825</v>
      </c>
      <c r="F185" s="1"/>
      <c r="G185" s="39">
        <v>8</v>
      </c>
      <c r="H185" s="39">
        <v>15</v>
      </c>
      <c r="I185" s="9">
        <f t="shared" si="4"/>
        <v>23</v>
      </c>
      <c r="J185" s="1">
        <v>3.92</v>
      </c>
      <c r="K185" s="42" t="s">
        <v>826</v>
      </c>
      <c r="L185" s="2">
        <v>46085</v>
      </c>
      <c r="M185" s="1" t="s">
        <v>230</v>
      </c>
      <c r="N185" s="2">
        <v>46087</v>
      </c>
      <c r="O185" s="3">
        <f>NETWORKDAYS(L185,N185,[1]Holidays!$B$2:$B$16)</f>
        <v>3</v>
      </c>
      <c r="P185" s="1"/>
    </row>
    <row r="186" spans="1:16">
      <c r="A186" s="1" t="s">
        <v>827</v>
      </c>
      <c r="B186" s="1" t="s">
        <v>1</v>
      </c>
      <c r="C186" s="1" t="s">
        <v>57</v>
      </c>
      <c r="D186" s="1" t="s">
        <v>828</v>
      </c>
      <c r="E186" s="39" t="s">
        <v>829</v>
      </c>
      <c r="F186" s="1"/>
      <c r="G186" s="39">
        <v>1</v>
      </c>
      <c r="H186" s="39">
        <v>21</v>
      </c>
      <c r="I186" s="9">
        <v>22</v>
      </c>
      <c r="J186" s="1">
        <v>3.92</v>
      </c>
      <c r="K186" s="42" t="s">
        <v>830</v>
      </c>
      <c r="L186" s="2">
        <v>46085</v>
      </c>
      <c r="M186" s="1" t="s">
        <v>230</v>
      </c>
      <c r="N186" s="2">
        <v>46087</v>
      </c>
      <c r="O186" s="3">
        <f>NETWORKDAYS(L186,N186,[1]Holidays!$B$2:$B$16)</f>
        <v>3</v>
      </c>
      <c r="P186" s="1"/>
    </row>
    <row r="187" spans="1:16">
      <c r="A187" s="1" t="s">
        <v>831</v>
      </c>
      <c r="B187" s="1" t="s">
        <v>1</v>
      </c>
      <c r="C187" s="1" t="s">
        <v>371</v>
      </c>
      <c r="D187" s="1" t="s">
        <v>832</v>
      </c>
      <c r="E187" s="39" t="s">
        <v>833</v>
      </c>
      <c r="F187" s="1"/>
      <c r="G187" s="39">
        <v>3</v>
      </c>
      <c r="H187" s="39">
        <v>59</v>
      </c>
      <c r="I187" s="9">
        <v>62</v>
      </c>
      <c r="J187" s="1">
        <v>3.64</v>
      </c>
      <c r="K187" s="25" t="s">
        <v>834</v>
      </c>
      <c r="L187" s="2">
        <v>46085</v>
      </c>
      <c r="M187" s="1" t="s">
        <v>230</v>
      </c>
      <c r="N187" s="2">
        <v>46087</v>
      </c>
      <c r="O187" s="3">
        <f>NETWORKDAYS(L187,N187,[1]Holidays!$B$2:$B$16)</f>
        <v>3</v>
      </c>
      <c r="P187" s="1"/>
    </row>
    <row r="188" spans="1:16">
      <c r="A188" s="1" t="s">
        <v>835</v>
      </c>
      <c r="B188" s="1" t="s">
        <v>1</v>
      </c>
      <c r="C188" s="1" t="s">
        <v>238</v>
      </c>
      <c r="D188" s="1" t="s">
        <v>836</v>
      </c>
      <c r="E188" s="39" t="s">
        <v>837</v>
      </c>
      <c r="F188" s="1" t="s">
        <v>737</v>
      </c>
      <c r="G188" s="39">
        <v>5</v>
      </c>
      <c r="H188" s="39">
        <v>18</v>
      </c>
      <c r="I188" s="9">
        <f t="shared" si="4"/>
        <v>23</v>
      </c>
      <c r="J188" s="1">
        <v>3.92</v>
      </c>
      <c r="K188" s="25" t="s">
        <v>838</v>
      </c>
      <c r="L188" s="2">
        <v>46085</v>
      </c>
      <c r="M188" s="1" t="s">
        <v>230</v>
      </c>
      <c r="N188" s="2">
        <v>46087</v>
      </c>
      <c r="O188" s="3">
        <f>NETWORKDAYS(L188,N188,[1]Holidays!$B$2:$B$16)</f>
        <v>3</v>
      </c>
      <c r="P188" s="1"/>
    </row>
    <row r="189" spans="1:16">
      <c r="A189" s="1" t="s">
        <v>839</v>
      </c>
      <c r="B189" s="1" t="s">
        <v>1</v>
      </c>
      <c r="C189" s="1" t="s">
        <v>79</v>
      </c>
      <c r="D189" s="1" t="s">
        <v>840</v>
      </c>
      <c r="E189" s="39" t="s">
        <v>811</v>
      </c>
      <c r="F189" s="1"/>
      <c r="G189" s="39">
        <v>4</v>
      </c>
      <c r="H189" s="39">
        <v>7</v>
      </c>
      <c r="I189" s="9">
        <v>11</v>
      </c>
      <c r="J189" s="1">
        <v>3.92</v>
      </c>
      <c r="K189" s="42" t="s">
        <v>841</v>
      </c>
      <c r="L189" s="2">
        <v>46085</v>
      </c>
      <c r="M189" s="1" t="s">
        <v>6</v>
      </c>
      <c r="N189" s="2">
        <v>46087</v>
      </c>
      <c r="O189" s="3">
        <f>NETWORKDAYS(L189,N189,[1]Holidays!$B$2:$B$16)</f>
        <v>3</v>
      </c>
      <c r="P189" s="1" t="s">
        <v>842</v>
      </c>
    </row>
    <row r="190" spans="1:16">
      <c r="A190" s="1" t="s">
        <v>843</v>
      </c>
      <c r="B190" s="1" t="s">
        <v>1</v>
      </c>
      <c r="C190" s="1"/>
      <c r="D190" s="1" t="s">
        <v>844</v>
      </c>
      <c r="E190" s="39" t="s">
        <v>402</v>
      </c>
      <c r="F190" s="1" t="s">
        <v>845</v>
      </c>
      <c r="G190" s="21"/>
      <c r="H190" s="21"/>
      <c r="I190" s="9">
        <v>9</v>
      </c>
      <c r="J190" s="1">
        <v>3.5</v>
      </c>
      <c r="K190" s="21" t="s">
        <v>846</v>
      </c>
      <c r="L190" s="2">
        <v>46085</v>
      </c>
      <c r="M190" s="1" t="s">
        <v>230</v>
      </c>
      <c r="N190" s="2">
        <v>46087</v>
      </c>
      <c r="O190" s="3">
        <f>NETWORKDAYS(L190,N190,[1]Holidays!$B$2:$B$16)</f>
        <v>3</v>
      </c>
      <c r="P190" s="1" t="s">
        <v>845</v>
      </c>
    </row>
    <row r="191" spans="1:16">
      <c r="A191" s="1" t="s">
        <v>847</v>
      </c>
      <c r="B191" s="1" t="s">
        <v>1</v>
      </c>
      <c r="C191" s="1" t="s">
        <v>389</v>
      </c>
      <c r="D191" s="1" t="s">
        <v>848</v>
      </c>
      <c r="E191" s="39" t="s">
        <v>849</v>
      </c>
      <c r="F191" s="1" t="s">
        <v>392</v>
      </c>
      <c r="G191" s="39">
        <v>4</v>
      </c>
      <c r="H191" s="39">
        <v>12</v>
      </c>
      <c r="I191" s="9">
        <f t="shared" si="4"/>
        <v>16</v>
      </c>
      <c r="J191" s="1">
        <v>3.78</v>
      </c>
      <c r="K191" s="39" t="s">
        <v>850</v>
      </c>
      <c r="L191" s="2">
        <v>46087</v>
      </c>
      <c r="M191" s="1" t="s">
        <v>230</v>
      </c>
      <c r="N191" s="2">
        <v>46091</v>
      </c>
      <c r="O191" s="3">
        <f>NETWORKDAYS(L191,N191,[1]Holidays!$B$2:$B$16)</f>
        <v>3</v>
      </c>
      <c r="P191" s="1"/>
    </row>
    <row r="192" spans="1:16">
      <c r="A192" s="1" t="s">
        <v>851</v>
      </c>
      <c r="B192" s="1" t="s">
        <v>254</v>
      </c>
      <c r="C192" s="1" t="s">
        <v>108</v>
      </c>
      <c r="D192" s="1" t="s">
        <v>852</v>
      </c>
      <c r="E192" s="39" t="s">
        <v>853</v>
      </c>
      <c r="F192" s="1" t="s">
        <v>854</v>
      </c>
      <c r="G192" s="39">
        <v>14</v>
      </c>
      <c r="H192" s="39">
        <v>70</v>
      </c>
      <c r="I192" s="9">
        <f t="shared" si="4"/>
        <v>84</v>
      </c>
      <c r="J192" s="1">
        <v>3.78</v>
      </c>
      <c r="K192" s="1" t="s">
        <v>855</v>
      </c>
      <c r="L192" s="2">
        <v>46087</v>
      </c>
      <c r="M192" s="1" t="s">
        <v>6</v>
      </c>
      <c r="N192" s="2">
        <v>46091</v>
      </c>
      <c r="O192" s="3">
        <f>NETWORKDAYS(L192,N192,[1]Holidays!$B$2:$B$16)</f>
        <v>3</v>
      </c>
      <c r="P192" s="1" t="s">
        <v>856</v>
      </c>
    </row>
    <row r="193" spans="1:16">
      <c r="A193" s="1" t="s">
        <v>857</v>
      </c>
      <c r="B193" s="1" t="s">
        <v>1</v>
      </c>
      <c r="C193" s="1" t="s">
        <v>238</v>
      </c>
      <c r="D193" s="1" t="s">
        <v>858</v>
      </c>
      <c r="E193" s="43">
        <v>46094</v>
      </c>
      <c r="F193" s="1" t="s">
        <v>737</v>
      </c>
      <c r="G193" s="39">
        <v>0</v>
      </c>
      <c r="H193" s="39">
        <v>20</v>
      </c>
      <c r="I193" s="9">
        <v>20</v>
      </c>
      <c r="J193" s="1">
        <v>3.92</v>
      </c>
      <c r="K193" s="1" t="s">
        <v>859</v>
      </c>
      <c r="L193" s="2">
        <v>46087</v>
      </c>
      <c r="M193" s="1" t="s">
        <v>230</v>
      </c>
      <c r="N193" s="2">
        <v>46091</v>
      </c>
      <c r="O193" s="3">
        <f>NETWORKDAYS(L193,N193,[1]Holidays!$B$2:$B$16)</f>
        <v>3</v>
      </c>
      <c r="P193" s="1"/>
    </row>
    <row r="194" spans="1:16">
      <c r="A194" s="1" t="s">
        <v>860</v>
      </c>
      <c r="B194" s="1" t="s">
        <v>1</v>
      </c>
      <c r="C194" s="1" t="s">
        <v>175</v>
      </c>
      <c r="D194" s="1" t="s">
        <v>861</v>
      </c>
      <c r="E194" s="43">
        <v>46104</v>
      </c>
      <c r="F194" s="1" t="s">
        <v>862</v>
      </c>
      <c r="G194" s="39">
        <v>0</v>
      </c>
      <c r="H194" s="39">
        <v>9</v>
      </c>
      <c r="I194" s="9">
        <v>9</v>
      </c>
      <c r="J194" s="1">
        <v>3.71</v>
      </c>
      <c r="K194" s="21" t="s">
        <v>863</v>
      </c>
      <c r="L194" s="2">
        <v>46091</v>
      </c>
      <c r="M194" s="1" t="s">
        <v>6</v>
      </c>
      <c r="N194" s="2">
        <v>46097</v>
      </c>
      <c r="O194" s="3">
        <f>NETWORKDAYS(L194,N194,[1]Holidays!$B$2:$B$16)</f>
        <v>5</v>
      </c>
      <c r="P194" s="1" t="s">
        <v>864</v>
      </c>
    </row>
    <row r="195" spans="1:16">
      <c r="A195" s="1" t="s">
        <v>865</v>
      </c>
      <c r="B195" s="1" t="s">
        <v>1</v>
      </c>
      <c r="C195" s="1" t="s">
        <v>175</v>
      </c>
      <c r="D195" s="1" t="s">
        <v>866</v>
      </c>
      <c r="E195" s="43">
        <v>46099</v>
      </c>
      <c r="F195" s="1" t="s">
        <v>867</v>
      </c>
      <c r="G195" s="39">
        <v>0</v>
      </c>
      <c r="H195" s="39">
        <v>10</v>
      </c>
      <c r="I195" s="9">
        <v>10</v>
      </c>
      <c r="J195" s="1">
        <v>3.57</v>
      </c>
      <c r="K195" s="42" t="s">
        <v>868</v>
      </c>
      <c r="L195" s="2">
        <v>46091</v>
      </c>
      <c r="M195" s="1" t="s">
        <v>6</v>
      </c>
      <c r="N195" s="2">
        <v>46097</v>
      </c>
      <c r="O195" s="3">
        <f>NETWORKDAYS(L195,N195,[1]Holidays!$B$2:$B$16)</f>
        <v>5</v>
      </c>
      <c r="P195" s="1" t="s">
        <v>864</v>
      </c>
    </row>
    <row r="196" spans="1:16">
      <c r="A196" s="1" t="s">
        <v>869</v>
      </c>
      <c r="B196" s="1" t="s">
        <v>1</v>
      </c>
      <c r="C196" s="1" t="s">
        <v>175</v>
      </c>
      <c r="D196" s="1" t="s">
        <v>870</v>
      </c>
      <c r="E196" s="39" t="s">
        <v>871</v>
      </c>
      <c r="F196" s="1" t="s">
        <v>872</v>
      </c>
      <c r="G196" s="39">
        <v>0</v>
      </c>
      <c r="H196" s="39">
        <v>23</v>
      </c>
      <c r="I196" s="9">
        <f t="shared" si="4"/>
        <v>23</v>
      </c>
      <c r="J196" s="1">
        <v>3.71</v>
      </c>
      <c r="K196" s="21" t="s">
        <v>873</v>
      </c>
      <c r="L196" s="2">
        <v>46091</v>
      </c>
      <c r="M196" s="1" t="s">
        <v>6</v>
      </c>
      <c r="N196" s="2">
        <v>46097</v>
      </c>
      <c r="O196" s="3">
        <f>NETWORKDAYS(L196,N196,[1]Holidays!$B$2:$B$16)</f>
        <v>5</v>
      </c>
      <c r="P196" s="1" t="s">
        <v>874</v>
      </c>
    </row>
    <row r="197" spans="1:16">
      <c r="A197" s="1" t="s">
        <v>875</v>
      </c>
      <c r="B197" s="1" t="s">
        <v>1</v>
      </c>
      <c r="C197" s="1" t="s">
        <v>175</v>
      </c>
      <c r="D197" s="1" t="s">
        <v>876</v>
      </c>
      <c r="E197" s="43">
        <v>46098</v>
      </c>
      <c r="F197" s="1" t="s">
        <v>867</v>
      </c>
      <c r="G197" s="39">
        <v>0</v>
      </c>
      <c r="H197" s="39">
        <v>9</v>
      </c>
      <c r="I197" s="9">
        <f t="shared" si="4"/>
        <v>9</v>
      </c>
      <c r="J197" s="1">
        <v>3.57</v>
      </c>
      <c r="K197" s="26" t="s">
        <v>877</v>
      </c>
      <c r="L197" s="2">
        <v>46091</v>
      </c>
      <c r="M197" s="1" t="s">
        <v>6</v>
      </c>
      <c r="N197" s="2">
        <v>46097</v>
      </c>
      <c r="O197" s="3">
        <f>NETWORKDAYS(L197,N197,[1]Holidays!$B$2:$B$16)</f>
        <v>5</v>
      </c>
      <c r="P197" s="1" t="s">
        <v>878</v>
      </c>
    </row>
    <row r="198" spans="1:16">
      <c r="A198" s="1" t="s">
        <v>879</v>
      </c>
      <c r="B198" s="1" t="s">
        <v>1</v>
      </c>
      <c r="C198" s="1" t="s">
        <v>175</v>
      </c>
      <c r="D198" s="1" t="s">
        <v>880</v>
      </c>
      <c r="E198" s="43">
        <v>46097</v>
      </c>
      <c r="F198" s="1" t="s">
        <v>867</v>
      </c>
      <c r="G198" s="39">
        <v>0</v>
      </c>
      <c r="H198" s="39">
        <v>9</v>
      </c>
      <c r="I198" s="9">
        <f t="shared" si="4"/>
        <v>9</v>
      </c>
      <c r="J198" s="1">
        <v>3.57</v>
      </c>
      <c r="K198" s="26" t="s">
        <v>881</v>
      </c>
      <c r="L198" s="2">
        <v>46091</v>
      </c>
      <c r="M198" s="1" t="s">
        <v>6</v>
      </c>
      <c r="N198" s="2">
        <v>46097</v>
      </c>
      <c r="O198" s="3">
        <f>NETWORKDAYS(L198,N198,[1]Holidays!$B$2:$B$16)</f>
        <v>5</v>
      </c>
      <c r="P198" s="1" t="s">
        <v>882</v>
      </c>
    </row>
    <row r="199" spans="1:16">
      <c r="A199" s="1" t="s">
        <v>883</v>
      </c>
      <c r="B199" s="1" t="s">
        <v>1</v>
      </c>
      <c r="C199" s="1" t="s">
        <v>175</v>
      </c>
      <c r="D199" s="1" t="s">
        <v>884</v>
      </c>
      <c r="E199" s="43">
        <v>46094</v>
      </c>
      <c r="F199" s="1" t="s">
        <v>885</v>
      </c>
      <c r="G199" s="39">
        <v>0</v>
      </c>
      <c r="H199" s="39">
        <v>6</v>
      </c>
      <c r="I199" s="9">
        <v>6</v>
      </c>
      <c r="J199" s="1">
        <v>3.57</v>
      </c>
      <c r="K199" s="21" t="s">
        <v>886</v>
      </c>
      <c r="L199" s="2">
        <v>46091</v>
      </c>
      <c r="M199" s="1" t="s">
        <v>6</v>
      </c>
      <c r="N199" s="2">
        <v>46097</v>
      </c>
      <c r="O199" s="3">
        <f>NETWORKDAYS(L199,N199,[1]Holidays!$B$2:$B$16)</f>
        <v>5</v>
      </c>
      <c r="P199" s="1" t="s">
        <v>864</v>
      </c>
    </row>
    <row r="200" spans="1:16">
      <c r="A200" s="1" t="s">
        <v>887</v>
      </c>
      <c r="B200" s="1" t="s">
        <v>1</v>
      </c>
      <c r="C200" s="1" t="s">
        <v>175</v>
      </c>
      <c r="D200" s="1" t="s">
        <v>888</v>
      </c>
      <c r="E200" s="43">
        <v>46094</v>
      </c>
      <c r="F200" s="1" t="s">
        <v>889</v>
      </c>
      <c r="G200" s="39">
        <v>3</v>
      </c>
      <c r="H200" s="39">
        <v>6</v>
      </c>
      <c r="I200" s="9">
        <f t="shared" si="4"/>
        <v>9</v>
      </c>
      <c r="J200" s="1">
        <v>3.82</v>
      </c>
      <c r="K200" s="39" t="s">
        <v>890</v>
      </c>
      <c r="L200" s="2">
        <v>46091</v>
      </c>
      <c r="M200" s="1" t="s">
        <v>6</v>
      </c>
      <c r="N200" s="2">
        <v>46097</v>
      </c>
      <c r="O200" s="3">
        <f>NETWORKDAYS(L200,N200,[1]Holidays!$B$2:$B$16)</f>
        <v>5</v>
      </c>
      <c r="P200" s="1" t="s">
        <v>891</v>
      </c>
    </row>
    <row r="201" spans="1:16">
      <c r="A201" s="1" t="s">
        <v>892</v>
      </c>
      <c r="B201" s="1" t="s">
        <v>1</v>
      </c>
      <c r="C201" s="1" t="s">
        <v>175</v>
      </c>
      <c r="D201" s="1" t="s">
        <v>893</v>
      </c>
      <c r="E201" s="43">
        <v>46097</v>
      </c>
      <c r="F201" s="1" t="s">
        <v>889</v>
      </c>
      <c r="G201" s="39">
        <v>3</v>
      </c>
      <c r="H201" s="39">
        <v>6</v>
      </c>
      <c r="I201" s="9">
        <f t="shared" si="4"/>
        <v>9</v>
      </c>
      <c r="J201" s="1">
        <v>3.82</v>
      </c>
      <c r="K201" s="21" t="s">
        <v>894</v>
      </c>
      <c r="L201" s="2">
        <v>46091</v>
      </c>
      <c r="M201" s="1" t="s">
        <v>6</v>
      </c>
      <c r="N201" s="2">
        <v>46097</v>
      </c>
      <c r="O201" s="3">
        <f>NETWORKDAYS(L201,N201,[1]Holidays!$B$2:$B$16)</f>
        <v>5</v>
      </c>
      <c r="P201" s="1" t="s">
        <v>895</v>
      </c>
    </row>
    <row r="202" spans="1:16">
      <c r="A202" s="1" t="s">
        <v>896</v>
      </c>
      <c r="B202" s="1" t="s">
        <v>1</v>
      </c>
      <c r="C202" s="1" t="s">
        <v>175</v>
      </c>
      <c r="D202" s="1" t="s">
        <v>897</v>
      </c>
      <c r="E202" s="43">
        <v>46098</v>
      </c>
      <c r="F202" s="1"/>
      <c r="G202" s="1">
        <v>3</v>
      </c>
      <c r="H202" s="1">
        <v>9</v>
      </c>
      <c r="I202" s="9">
        <v>11</v>
      </c>
      <c r="J202" s="1">
        <v>3.82</v>
      </c>
      <c r="K202" s="21" t="s">
        <v>898</v>
      </c>
      <c r="L202" s="2">
        <v>46091</v>
      </c>
      <c r="M202" s="1" t="s">
        <v>6</v>
      </c>
      <c r="N202" s="2">
        <v>46097</v>
      </c>
      <c r="O202" s="3">
        <f>NETWORKDAYS(L202,N202,[1]Holidays!$B$2:$B$16)</f>
        <v>5</v>
      </c>
      <c r="P202" s="1" t="s">
        <v>899</v>
      </c>
    </row>
    <row r="203" spans="1:16">
      <c r="A203" s="1" t="s">
        <v>900</v>
      </c>
      <c r="B203" s="1" t="s">
        <v>1</v>
      </c>
      <c r="C203" s="1" t="s">
        <v>175</v>
      </c>
      <c r="D203" s="1" t="s">
        <v>866</v>
      </c>
      <c r="E203" s="43">
        <v>46099</v>
      </c>
      <c r="F203" s="1" t="s">
        <v>867</v>
      </c>
      <c r="G203" s="39">
        <v>3</v>
      </c>
      <c r="H203" s="39">
        <v>6</v>
      </c>
      <c r="I203" s="9">
        <f t="shared" si="4"/>
        <v>9</v>
      </c>
      <c r="J203" s="1">
        <v>3.82</v>
      </c>
      <c r="K203" s="39" t="s">
        <v>901</v>
      </c>
      <c r="L203" s="2">
        <v>46091</v>
      </c>
      <c r="M203" s="1" t="s">
        <v>6</v>
      </c>
      <c r="N203" s="2">
        <v>46097</v>
      </c>
      <c r="O203" s="3">
        <f>NETWORKDAYS(L203,N203,[1]Holidays!$B$2:$B$16)</f>
        <v>5</v>
      </c>
      <c r="P203" s="1" t="s">
        <v>902</v>
      </c>
    </row>
    <row r="204" spans="1:16">
      <c r="A204" s="1" t="s">
        <v>903</v>
      </c>
      <c r="B204" s="1" t="s">
        <v>254</v>
      </c>
      <c r="C204" s="1" t="s">
        <v>659</v>
      </c>
      <c r="D204" s="1" t="s">
        <v>904</v>
      </c>
      <c r="E204" s="43" t="s">
        <v>905</v>
      </c>
      <c r="F204" s="1" t="s">
        <v>906</v>
      </c>
      <c r="G204" s="39">
        <v>48</v>
      </c>
      <c r="H204" s="39">
        <v>172</v>
      </c>
      <c r="I204" s="9">
        <v>220</v>
      </c>
      <c r="J204" s="1">
        <v>3.73</v>
      </c>
      <c r="K204" s="39" t="s">
        <v>907</v>
      </c>
      <c r="L204" s="2">
        <v>46097</v>
      </c>
      <c r="M204" s="1" t="s">
        <v>230</v>
      </c>
      <c r="N204" s="2">
        <v>46097</v>
      </c>
      <c r="O204" s="3">
        <f>NETWORKDAYS(L204,N204,[1]Holidays!$B$2:$B$16)</f>
        <v>1</v>
      </c>
      <c r="P204" s="1" t="s">
        <v>908</v>
      </c>
    </row>
    <row r="205" spans="1:16">
      <c r="A205" s="1" t="s">
        <v>909</v>
      </c>
      <c r="B205" s="1" t="s">
        <v>1</v>
      </c>
      <c r="C205" s="1" t="s">
        <v>505</v>
      </c>
      <c r="D205" s="1" t="s">
        <v>910</v>
      </c>
      <c r="E205" s="39" t="s">
        <v>911</v>
      </c>
      <c r="F205" s="1" t="s">
        <v>912</v>
      </c>
      <c r="G205" s="39">
        <v>3</v>
      </c>
      <c r="H205" s="39">
        <v>23</v>
      </c>
      <c r="I205" s="9">
        <f t="shared" si="4"/>
        <v>26</v>
      </c>
      <c r="J205" s="1">
        <v>3.64</v>
      </c>
      <c r="K205" s="39" t="s">
        <v>913</v>
      </c>
      <c r="L205" s="2">
        <v>46091</v>
      </c>
      <c r="M205" s="1" t="s">
        <v>6</v>
      </c>
      <c r="N205" s="2">
        <v>46097</v>
      </c>
      <c r="O205" s="3">
        <f>NETWORKDAYS(L205,N205,[1]Holidays!$B$2:$B$16)</f>
        <v>5</v>
      </c>
      <c r="P205" s="1" t="s">
        <v>7</v>
      </c>
    </row>
    <row r="206" spans="1:16">
      <c r="A206" s="1"/>
      <c r="B206" s="1"/>
      <c r="C206" s="1"/>
      <c r="D206" s="1"/>
      <c r="E206" s="39"/>
      <c r="F206" s="1"/>
      <c r="G206" s="39"/>
      <c r="H206" s="39"/>
      <c r="I206" s="9"/>
      <c r="J206" s="1"/>
      <c r="K206" s="39"/>
      <c r="L206" s="2"/>
      <c r="M206" s="1"/>
      <c r="N206" s="2"/>
      <c r="O206" s="3"/>
      <c r="P206" s="1"/>
    </row>
    <row r="207" spans="1:16">
      <c r="A207" s="1" t="s">
        <v>914</v>
      </c>
      <c r="B207" s="1" t="s">
        <v>1</v>
      </c>
      <c r="C207" s="1" t="s">
        <v>149</v>
      </c>
      <c r="D207" s="1" t="s">
        <v>915</v>
      </c>
      <c r="E207" s="39" t="s">
        <v>675</v>
      </c>
      <c r="F207" s="1" t="s">
        <v>916</v>
      </c>
      <c r="G207" s="1">
        <v>5</v>
      </c>
      <c r="H207" s="1">
        <v>7</v>
      </c>
      <c r="I207" s="9">
        <f t="shared" si="4"/>
        <v>12</v>
      </c>
      <c r="J207" s="1">
        <v>3.91</v>
      </c>
      <c r="K207" s="1" t="s">
        <v>917</v>
      </c>
      <c r="L207" s="2">
        <v>46098</v>
      </c>
      <c r="M207" s="1" t="s">
        <v>230</v>
      </c>
      <c r="N207" s="2">
        <v>46104</v>
      </c>
      <c r="O207" s="3">
        <f>NETWORKDAYS(L207,N207,[1]Holidays!$B$2:$B$16)</f>
        <v>5</v>
      </c>
      <c r="P207" s="1" t="s">
        <v>918</v>
      </c>
    </row>
    <row r="208" spans="1:16">
      <c r="A208" s="1" t="s">
        <v>919</v>
      </c>
      <c r="B208" s="1" t="s">
        <v>1</v>
      </c>
      <c r="C208" s="1" t="s">
        <v>108</v>
      </c>
      <c r="D208" s="1" t="s">
        <v>920</v>
      </c>
      <c r="E208" s="39" t="s">
        <v>921</v>
      </c>
      <c r="F208" s="1" t="s">
        <v>922</v>
      </c>
      <c r="G208" s="1">
        <v>1</v>
      </c>
      <c r="H208" s="1">
        <v>8</v>
      </c>
      <c r="I208" s="9">
        <f t="shared" si="4"/>
        <v>9</v>
      </c>
      <c r="J208" s="1">
        <v>3.82</v>
      </c>
      <c r="K208" s="21" t="s">
        <v>923</v>
      </c>
      <c r="L208" s="2">
        <v>46100</v>
      </c>
      <c r="M208" s="18" t="s">
        <v>230</v>
      </c>
      <c r="N208" s="2">
        <v>46104</v>
      </c>
      <c r="O208" s="3">
        <f>NETWORKDAYS(L208,N208,[1]Holidays!$B$2:$B$16)</f>
        <v>3</v>
      </c>
      <c r="P208" s="1" t="s">
        <v>7</v>
      </c>
    </row>
    <row r="209" spans="1:16">
      <c r="A209" s="1" t="s">
        <v>924</v>
      </c>
      <c r="B209" s="1" t="s">
        <v>1</v>
      </c>
      <c r="C209" s="1" t="s">
        <v>216</v>
      </c>
      <c r="D209" s="1" t="s">
        <v>925</v>
      </c>
      <c r="E209" s="39" t="s">
        <v>926</v>
      </c>
      <c r="F209" s="1" t="s">
        <v>216</v>
      </c>
      <c r="G209" s="1">
        <v>0</v>
      </c>
      <c r="H209" s="1">
        <v>10</v>
      </c>
      <c r="I209" s="9">
        <f t="shared" si="4"/>
        <v>10</v>
      </c>
      <c r="J209" s="1">
        <v>3.82</v>
      </c>
      <c r="K209" s="21" t="s">
        <v>927</v>
      </c>
      <c r="L209" s="2">
        <v>46100</v>
      </c>
      <c r="M209" s="1" t="s">
        <v>230</v>
      </c>
      <c r="N209" s="2">
        <v>46104</v>
      </c>
      <c r="O209" s="3">
        <f>NETWORKDAYS(L209,N209,[1]Holidays!$B$2:$B$16)</f>
        <v>3</v>
      </c>
      <c r="P209" s="1" t="s">
        <v>7</v>
      </c>
    </row>
    <row r="210" spans="1:16">
      <c r="A210" s="1" t="s">
        <v>928</v>
      </c>
      <c r="B210" s="1" t="s">
        <v>1</v>
      </c>
      <c r="C210" s="1" t="s">
        <v>765</v>
      </c>
      <c r="D210" s="46" t="s">
        <v>929</v>
      </c>
      <c r="E210" s="39" t="s">
        <v>930</v>
      </c>
      <c r="F210" s="1" t="s">
        <v>765</v>
      </c>
      <c r="G210" s="39">
        <v>7</v>
      </c>
      <c r="H210" s="39">
        <v>19</v>
      </c>
      <c r="I210" s="9">
        <f t="shared" si="4"/>
        <v>26</v>
      </c>
      <c r="J210" s="1">
        <v>3.73</v>
      </c>
      <c r="K210" s="44" t="s">
        <v>931</v>
      </c>
      <c r="L210" s="2">
        <v>46100</v>
      </c>
      <c r="M210" s="39" t="s">
        <v>230</v>
      </c>
      <c r="N210" s="2">
        <v>46104</v>
      </c>
      <c r="O210" s="3">
        <f>NETWORKDAYS(L210,N210,[1]Holidays!$B$2:$B$16)</f>
        <v>3</v>
      </c>
      <c r="P210" s="1" t="s">
        <v>932</v>
      </c>
    </row>
    <row r="211" spans="1:16">
      <c r="A211" s="1" t="s">
        <v>933</v>
      </c>
      <c r="B211" s="1" t="s">
        <v>1</v>
      </c>
      <c r="C211" s="1" t="s">
        <v>40</v>
      </c>
      <c r="D211" s="1" t="s">
        <v>934</v>
      </c>
      <c r="E211" s="39" t="s">
        <v>935</v>
      </c>
      <c r="F211" s="1" t="s">
        <v>936</v>
      </c>
      <c r="G211" s="39">
        <v>1</v>
      </c>
      <c r="H211" s="39">
        <v>14</v>
      </c>
      <c r="I211" s="9">
        <f t="shared" si="4"/>
        <v>15</v>
      </c>
      <c r="J211" s="1">
        <v>3.64</v>
      </c>
      <c r="K211" s="21" t="s">
        <v>937</v>
      </c>
      <c r="L211" s="2">
        <v>46100</v>
      </c>
      <c r="M211" s="1" t="s">
        <v>230</v>
      </c>
      <c r="N211" s="2">
        <v>46104</v>
      </c>
      <c r="O211" s="3">
        <f>NETWORKDAYS(L211,N211,[1]Holidays!$B$2:$B$16)</f>
        <v>3</v>
      </c>
      <c r="P211" s="1" t="s">
        <v>7</v>
      </c>
    </row>
    <row r="212" spans="1:16">
      <c r="A212" s="1" t="s">
        <v>938</v>
      </c>
      <c r="B212" s="1" t="s">
        <v>1</v>
      </c>
      <c r="C212" s="1" t="s">
        <v>515</v>
      </c>
      <c r="D212" s="1" t="s">
        <v>939</v>
      </c>
      <c r="E212" s="39" t="s">
        <v>402</v>
      </c>
      <c r="F212" s="1"/>
      <c r="G212" s="39">
        <v>4</v>
      </c>
      <c r="H212" s="39">
        <v>9</v>
      </c>
      <c r="I212" s="9">
        <f t="shared" si="4"/>
        <v>13</v>
      </c>
      <c r="J212" s="1">
        <v>3.45</v>
      </c>
      <c r="K212" s="21" t="s">
        <v>940</v>
      </c>
      <c r="L212" s="2">
        <v>46100</v>
      </c>
      <c r="M212" s="1" t="s">
        <v>230</v>
      </c>
      <c r="N212" s="2">
        <v>46104</v>
      </c>
      <c r="O212" s="3">
        <f>NETWORKDAYS(L212,N212,[1]Holidays!$B$2:$B$16)</f>
        <v>3</v>
      </c>
      <c r="P212" s="1" t="s">
        <v>7</v>
      </c>
    </row>
    <row r="213" spans="1:16">
      <c r="A213" s="1" t="s">
        <v>941</v>
      </c>
      <c r="B213" s="1" t="s">
        <v>1</v>
      </c>
      <c r="C213" s="1" t="s">
        <v>515</v>
      </c>
      <c r="D213" s="1" t="s">
        <v>942</v>
      </c>
      <c r="E213" s="43">
        <v>46090</v>
      </c>
      <c r="F213" s="1"/>
      <c r="G213" s="39">
        <v>4</v>
      </c>
      <c r="H213" s="39">
        <v>9</v>
      </c>
      <c r="I213" s="9">
        <f t="shared" si="4"/>
        <v>13</v>
      </c>
      <c r="J213" s="1">
        <v>3.45</v>
      </c>
      <c r="K213" s="21" t="s">
        <v>943</v>
      </c>
      <c r="L213" s="2">
        <v>46100</v>
      </c>
      <c r="M213" s="1" t="s">
        <v>230</v>
      </c>
      <c r="N213" s="2">
        <v>46104</v>
      </c>
      <c r="O213" s="3">
        <f>NETWORKDAYS(L213,N213,[1]Holidays!$B$2:$B$16)</f>
        <v>3</v>
      </c>
      <c r="P213" s="1" t="s">
        <v>7</v>
      </c>
    </row>
    <row r="214" spans="1:16">
      <c r="A214" s="1" t="s">
        <v>944</v>
      </c>
      <c r="B214" s="1" t="s">
        <v>1</v>
      </c>
      <c r="C214" s="1" t="s">
        <v>515</v>
      </c>
      <c r="D214" s="1" t="s">
        <v>945</v>
      </c>
      <c r="E214" s="39" t="s">
        <v>402</v>
      </c>
      <c r="F214" s="1"/>
      <c r="G214" s="21"/>
      <c r="H214" s="21"/>
      <c r="I214" s="9">
        <v>12</v>
      </c>
      <c r="J214" s="1">
        <v>3.45</v>
      </c>
      <c r="K214" s="21" t="s">
        <v>946</v>
      </c>
      <c r="L214" s="2">
        <v>46100</v>
      </c>
      <c r="M214" s="1" t="s">
        <v>230</v>
      </c>
      <c r="N214" s="2">
        <v>46104</v>
      </c>
      <c r="O214" s="3">
        <f>NETWORKDAYS(L214,N214,[1]Holidays!$B$2:$B$16)</f>
        <v>3</v>
      </c>
      <c r="P214" s="1" t="s">
        <v>7</v>
      </c>
    </row>
    <row r="215" spans="1:16">
      <c r="A215" s="1" t="s">
        <v>947</v>
      </c>
      <c r="B215" s="1" t="s">
        <v>1</v>
      </c>
      <c r="C215" s="1" t="s">
        <v>515</v>
      </c>
      <c r="D215" s="1" t="s">
        <v>948</v>
      </c>
      <c r="E215" s="43">
        <v>46090</v>
      </c>
      <c r="F215" s="1"/>
      <c r="G215" s="39"/>
      <c r="H215" s="39"/>
      <c r="I215" s="9">
        <v>12</v>
      </c>
      <c r="J215" s="1">
        <v>3.45</v>
      </c>
      <c r="K215" s="21" t="s">
        <v>949</v>
      </c>
      <c r="L215" s="2">
        <v>46100</v>
      </c>
      <c r="M215" s="1" t="s">
        <v>230</v>
      </c>
      <c r="N215" s="2">
        <v>46104</v>
      </c>
      <c r="O215" s="3">
        <f>NETWORKDAYS(L215,N215,[1]Holidays!$B$2:$B$16)</f>
        <v>3</v>
      </c>
      <c r="P215" s="1" t="s">
        <v>7</v>
      </c>
    </row>
    <row r="216" spans="1:16">
      <c r="A216" s="1" t="s">
        <v>950</v>
      </c>
      <c r="B216" s="1" t="s">
        <v>1</v>
      </c>
      <c r="C216" s="1" t="s">
        <v>154</v>
      </c>
      <c r="D216" s="1" t="s">
        <v>951</v>
      </c>
      <c r="E216" s="43">
        <v>46094</v>
      </c>
      <c r="F216" s="1" t="s">
        <v>299</v>
      </c>
      <c r="G216" s="1">
        <v>7</v>
      </c>
      <c r="H216" s="1">
        <v>73</v>
      </c>
      <c r="I216" s="9">
        <f t="shared" si="4"/>
        <v>80</v>
      </c>
      <c r="J216" s="1">
        <v>3.64</v>
      </c>
      <c r="K216" s="21" t="s">
        <v>952</v>
      </c>
      <c r="L216" s="2">
        <v>46100</v>
      </c>
      <c r="M216" s="1" t="s">
        <v>230</v>
      </c>
      <c r="N216" s="2">
        <v>46104</v>
      </c>
      <c r="O216" s="3">
        <f>NETWORKDAYS(L216,N216,[1]Holidays!$B$2:$B$16)</f>
        <v>3</v>
      </c>
      <c r="P216" s="1" t="s">
        <v>7</v>
      </c>
    </row>
    <row r="217" spans="1:16">
      <c r="A217" s="1" t="s">
        <v>953</v>
      </c>
      <c r="B217" s="1" t="s">
        <v>254</v>
      </c>
      <c r="C217" s="1" t="s">
        <v>14</v>
      </c>
      <c r="D217" s="1" t="s">
        <v>954</v>
      </c>
      <c r="E217" s="39" t="s">
        <v>955</v>
      </c>
      <c r="F217" s="1" t="s">
        <v>956</v>
      </c>
      <c r="G217" s="39">
        <v>30</v>
      </c>
      <c r="H217" s="39">
        <v>65</v>
      </c>
      <c r="I217" s="9">
        <v>95</v>
      </c>
      <c r="J217" s="1">
        <v>3.45</v>
      </c>
      <c r="K217" s="21" t="s">
        <v>957</v>
      </c>
      <c r="L217" s="2">
        <v>46100</v>
      </c>
      <c r="M217" s="1" t="s">
        <v>230</v>
      </c>
      <c r="N217" s="2">
        <v>46104</v>
      </c>
      <c r="O217" s="3">
        <f>NETWORKDAYS(L217,N217,[1]Holidays!$B$2:$B$16)</f>
        <v>3</v>
      </c>
      <c r="P217" s="1" t="s">
        <v>958</v>
      </c>
    </row>
    <row r="218" spans="1:16">
      <c r="A218" s="1" t="s">
        <v>959</v>
      </c>
      <c r="B218" s="1" t="s">
        <v>1</v>
      </c>
      <c r="C218" s="1" t="s">
        <v>395</v>
      </c>
      <c r="D218" s="1" t="s">
        <v>960</v>
      </c>
      <c r="E218" s="39" t="s">
        <v>633</v>
      </c>
      <c r="F218" s="1" t="s">
        <v>398</v>
      </c>
      <c r="G218" s="1">
        <v>4</v>
      </c>
      <c r="H218" s="1">
        <v>34</v>
      </c>
      <c r="I218" s="9">
        <f t="shared" si="4"/>
        <v>38</v>
      </c>
      <c r="J218" s="1">
        <v>3.55</v>
      </c>
      <c r="K218" s="21" t="s">
        <v>961</v>
      </c>
      <c r="L218" s="2">
        <v>46104</v>
      </c>
      <c r="M218" s="47" t="s">
        <v>230</v>
      </c>
      <c r="N218" s="2">
        <v>46107</v>
      </c>
      <c r="O218" s="3">
        <f>NETWORKDAYS(L218,N218,[1]Holidays!$B$2:$B$16)</f>
        <v>4</v>
      </c>
      <c r="P218" s="1" t="s">
        <v>7</v>
      </c>
    </row>
    <row r="219" spans="1:16">
      <c r="A219" s="1" t="s">
        <v>962</v>
      </c>
      <c r="B219" s="1" t="s">
        <v>254</v>
      </c>
      <c r="C219" s="1" t="s">
        <v>389</v>
      </c>
      <c r="D219" s="1" t="s">
        <v>963</v>
      </c>
      <c r="E219" s="43">
        <v>46105</v>
      </c>
      <c r="F219" s="1" t="s">
        <v>964</v>
      </c>
      <c r="G219" s="39">
        <v>3</v>
      </c>
      <c r="H219" s="39">
        <v>13</v>
      </c>
      <c r="I219" s="9">
        <v>16</v>
      </c>
      <c r="J219" s="1">
        <v>3.64</v>
      </c>
      <c r="K219" s="21" t="s">
        <v>965</v>
      </c>
      <c r="L219" s="2">
        <v>46104</v>
      </c>
      <c r="M219" s="1" t="s">
        <v>230</v>
      </c>
      <c r="N219" s="2">
        <v>46107</v>
      </c>
      <c r="O219" s="3">
        <f>NETWORKDAYS(L219,N219,[1]Holidays!$B$2:$B$16)</f>
        <v>4</v>
      </c>
      <c r="P219" s="1" t="s">
        <v>7</v>
      </c>
    </row>
    <row r="220" spans="1:16">
      <c r="A220" s="1" t="s">
        <v>966</v>
      </c>
      <c r="B220" s="1" t="s">
        <v>254</v>
      </c>
      <c r="C220" s="1" t="s">
        <v>389</v>
      </c>
      <c r="D220" s="1" t="s">
        <v>967</v>
      </c>
      <c r="E220" s="43">
        <v>46105</v>
      </c>
      <c r="F220" s="1" t="s">
        <v>968</v>
      </c>
      <c r="G220" s="39">
        <v>4</v>
      </c>
      <c r="H220" s="39">
        <v>36</v>
      </c>
      <c r="I220" s="9">
        <f t="shared" ref="I220:I238" si="5">SUM(G220:H220)</f>
        <v>40</v>
      </c>
      <c r="J220" s="1">
        <v>3.55</v>
      </c>
      <c r="K220" s="21" t="s">
        <v>969</v>
      </c>
      <c r="L220" s="2">
        <v>46104</v>
      </c>
      <c r="M220" s="1" t="s">
        <v>230</v>
      </c>
      <c r="N220" s="2">
        <v>46107</v>
      </c>
      <c r="O220" s="3">
        <f>NETWORKDAYS(L220,N220,[1]Holidays!$B$2:$B$16)</f>
        <v>4</v>
      </c>
      <c r="P220" s="1" t="s">
        <v>7</v>
      </c>
    </row>
    <row r="221" spans="1:16">
      <c r="A221" s="1" t="s">
        <v>970</v>
      </c>
      <c r="B221" s="1" t="s">
        <v>1</v>
      </c>
      <c r="C221" s="1" t="s">
        <v>133</v>
      </c>
      <c r="D221" s="1" t="s">
        <v>971</v>
      </c>
      <c r="E221" s="43">
        <v>46094</v>
      </c>
      <c r="F221" s="1" t="s">
        <v>972</v>
      </c>
      <c r="G221" s="39">
        <v>5</v>
      </c>
      <c r="H221" s="39">
        <v>10</v>
      </c>
      <c r="I221" s="9">
        <f t="shared" si="5"/>
        <v>15</v>
      </c>
      <c r="J221" s="1">
        <v>3.73</v>
      </c>
      <c r="K221" s="21" t="s">
        <v>973</v>
      </c>
      <c r="L221" s="2">
        <v>46105</v>
      </c>
      <c r="M221" s="1" t="s">
        <v>230</v>
      </c>
      <c r="N221" s="2">
        <v>46107</v>
      </c>
      <c r="O221" s="3">
        <f>NETWORKDAYS(L221,N221,[1]Holidays!$B$2:$B$16)</f>
        <v>3</v>
      </c>
      <c r="P221" s="1" t="s">
        <v>974</v>
      </c>
    </row>
    <row r="222" spans="1:16">
      <c r="A222" s="1" t="s">
        <v>975</v>
      </c>
      <c r="B222" s="1" t="s">
        <v>1</v>
      </c>
      <c r="C222" s="1" t="s">
        <v>451</v>
      </c>
      <c r="D222" s="1" t="s">
        <v>976</v>
      </c>
      <c r="E222" s="39" t="s">
        <v>977</v>
      </c>
      <c r="F222" s="1" t="s">
        <v>453</v>
      </c>
      <c r="G222" s="39">
        <v>8</v>
      </c>
      <c r="H222" s="39">
        <v>21</v>
      </c>
      <c r="I222" s="9">
        <f t="shared" si="5"/>
        <v>29</v>
      </c>
      <c r="J222" s="1">
        <v>3.55</v>
      </c>
      <c r="K222" s="21" t="s">
        <v>978</v>
      </c>
      <c r="L222" s="2">
        <v>46105</v>
      </c>
      <c r="M222" s="1" t="s">
        <v>230</v>
      </c>
      <c r="N222" s="2">
        <v>46107</v>
      </c>
      <c r="O222" s="3">
        <f>NETWORKDAYS(L222,N222,[1]Holidays!$B$2:$B$16)</f>
        <v>3</v>
      </c>
      <c r="P222" s="1" t="s">
        <v>979</v>
      </c>
    </row>
    <row r="223" spans="1:16">
      <c r="A223" s="1" t="s">
        <v>980</v>
      </c>
      <c r="B223" s="1" t="s">
        <v>1</v>
      </c>
      <c r="C223" s="1" t="s">
        <v>631</v>
      </c>
      <c r="D223" s="1" t="s">
        <v>981</v>
      </c>
      <c r="E223" s="39" t="s">
        <v>982</v>
      </c>
      <c r="F223" s="1" t="s">
        <v>634</v>
      </c>
      <c r="G223" s="21"/>
      <c r="H223" s="21"/>
      <c r="I223" s="9">
        <v>37</v>
      </c>
      <c r="J223" s="1">
        <v>3.36</v>
      </c>
      <c r="K223" s="39" t="s">
        <v>983</v>
      </c>
      <c r="L223" s="2">
        <v>46105</v>
      </c>
      <c r="M223" s="1" t="s">
        <v>230</v>
      </c>
      <c r="N223" s="2">
        <v>46107</v>
      </c>
      <c r="O223" s="3">
        <f>NETWORKDAYS(L223,N223,[1]Holidays!$B$2:$B$16)</f>
        <v>3</v>
      </c>
      <c r="P223" s="1" t="s">
        <v>984</v>
      </c>
    </row>
    <row r="224" spans="1:16">
      <c r="A224" s="1" t="s">
        <v>985</v>
      </c>
      <c r="B224" s="1" t="s">
        <v>1</v>
      </c>
      <c r="C224" s="1" t="s">
        <v>986</v>
      </c>
      <c r="D224" s="1" t="s">
        <v>987</v>
      </c>
      <c r="E224" s="39" t="s">
        <v>988</v>
      </c>
      <c r="F224" s="1" t="s">
        <v>989</v>
      </c>
      <c r="G224" s="39">
        <v>8</v>
      </c>
      <c r="H224" s="39">
        <v>9</v>
      </c>
      <c r="I224" s="9">
        <f t="shared" si="5"/>
        <v>17</v>
      </c>
      <c r="J224" s="1">
        <v>3.64</v>
      </c>
      <c r="K224" s="21" t="s">
        <v>990</v>
      </c>
      <c r="L224" s="2">
        <v>46105</v>
      </c>
      <c r="M224" s="1" t="s">
        <v>230</v>
      </c>
      <c r="N224" s="2">
        <v>46107</v>
      </c>
      <c r="O224" s="3">
        <f>NETWORKDAYS(L224,N224,[1]Holidays!$B$2:$B$16)</f>
        <v>3</v>
      </c>
      <c r="P224" s="1" t="s">
        <v>7</v>
      </c>
    </row>
    <row r="225" spans="1:16">
      <c r="A225" s="1" t="s">
        <v>991</v>
      </c>
      <c r="B225" s="1" t="s">
        <v>1</v>
      </c>
      <c r="C225" s="1" t="s">
        <v>451</v>
      </c>
      <c r="D225" s="1" t="s">
        <v>992</v>
      </c>
      <c r="E225" s="43">
        <v>46090</v>
      </c>
      <c r="F225" s="1" t="s">
        <v>368</v>
      </c>
      <c r="G225" s="39">
        <v>10</v>
      </c>
      <c r="H225" s="39">
        <v>9</v>
      </c>
      <c r="I225" s="9">
        <v>19</v>
      </c>
      <c r="J225" s="1">
        <v>3.82</v>
      </c>
      <c r="K225" s="21" t="s">
        <v>993</v>
      </c>
      <c r="L225" s="2">
        <v>46105</v>
      </c>
      <c r="M225" s="1" t="s">
        <v>230</v>
      </c>
      <c r="N225" s="2">
        <v>46107</v>
      </c>
      <c r="O225" s="3">
        <f>NETWORKDAYS(L225,N225,[1]Holidays!$B$2:$B$16)</f>
        <v>3</v>
      </c>
      <c r="P225" s="1" t="s">
        <v>994</v>
      </c>
    </row>
    <row r="226" spans="1:16">
      <c r="A226" s="1" t="s">
        <v>995</v>
      </c>
      <c r="B226" s="1" t="s">
        <v>254</v>
      </c>
      <c r="C226" s="1" t="s">
        <v>79</v>
      </c>
      <c r="D226" s="1" t="s">
        <v>996</v>
      </c>
      <c r="E226" s="43">
        <v>46094</v>
      </c>
      <c r="F226" s="1" t="s">
        <v>997</v>
      </c>
      <c r="G226" s="21"/>
      <c r="H226" s="21"/>
      <c r="I226" s="9">
        <f t="shared" si="5"/>
        <v>0</v>
      </c>
      <c r="J226" s="1" t="s">
        <v>756</v>
      </c>
      <c r="K226" s="21" t="s">
        <v>998</v>
      </c>
      <c r="L226" s="2">
        <v>46105</v>
      </c>
      <c r="M226" s="1" t="s">
        <v>230</v>
      </c>
      <c r="N226" s="2">
        <v>46107</v>
      </c>
      <c r="O226" s="3">
        <f>NETWORKDAYS(L226,N226,[1]Holidays!$B$2:$B$16)</f>
        <v>3</v>
      </c>
      <c r="P226" s="1" t="s">
        <v>7</v>
      </c>
    </row>
    <row r="227" spans="1:16">
      <c r="A227" s="1" t="s">
        <v>999</v>
      </c>
      <c r="B227" s="1" t="s">
        <v>1</v>
      </c>
      <c r="C227" s="1" t="s">
        <v>175</v>
      </c>
      <c r="D227" s="1" t="s">
        <v>1000</v>
      </c>
      <c r="E227" s="43">
        <v>46100</v>
      </c>
      <c r="F227" s="1" t="s">
        <v>1001</v>
      </c>
      <c r="G227" s="39">
        <v>2</v>
      </c>
      <c r="H227" s="39">
        <v>10</v>
      </c>
      <c r="I227" s="9">
        <f t="shared" si="5"/>
        <v>12</v>
      </c>
      <c r="J227" s="1">
        <v>3.64</v>
      </c>
      <c r="K227" s="21" t="s">
        <v>1002</v>
      </c>
      <c r="L227" s="2">
        <v>46106</v>
      </c>
      <c r="M227" s="1" t="s">
        <v>230</v>
      </c>
      <c r="N227" s="2">
        <v>46107</v>
      </c>
      <c r="O227" s="3">
        <f>NETWORKDAYS(L227,N227,[1]Holidays!$B$2:$B$16)</f>
        <v>2</v>
      </c>
      <c r="P227" s="1" t="s">
        <v>7</v>
      </c>
    </row>
    <row r="228" spans="1:16">
      <c r="A228" s="1" t="s">
        <v>1003</v>
      </c>
      <c r="B228" s="1" t="s">
        <v>1</v>
      </c>
      <c r="C228" s="1" t="s">
        <v>1004</v>
      </c>
      <c r="D228" s="1" t="s">
        <v>1005</v>
      </c>
      <c r="E228" s="39" t="s">
        <v>1006</v>
      </c>
      <c r="F228" s="1" t="s">
        <v>1007</v>
      </c>
      <c r="G228" s="1">
        <v>5</v>
      </c>
      <c r="H228" s="1">
        <v>16</v>
      </c>
      <c r="I228" s="9">
        <f t="shared" si="5"/>
        <v>21</v>
      </c>
      <c r="J228" s="1">
        <v>3.73</v>
      </c>
      <c r="K228" s="44" t="s">
        <v>1008</v>
      </c>
      <c r="L228" s="2">
        <v>46119</v>
      </c>
      <c r="M228" s="1" t="s">
        <v>230</v>
      </c>
      <c r="N228" s="2">
        <v>46119</v>
      </c>
      <c r="O228" s="3">
        <f>NETWORKDAYS(L228,N228,[1]Holidays!$B$2:$B$16)</f>
        <v>1</v>
      </c>
      <c r="P228" s="1" t="s">
        <v>1009</v>
      </c>
    </row>
    <row r="229" spans="1:16">
      <c r="A229" s="1"/>
      <c r="B229" s="1"/>
      <c r="C229" s="1"/>
      <c r="D229" s="1"/>
      <c r="E229" s="39"/>
      <c r="F229" s="1"/>
      <c r="G229" s="1"/>
      <c r="H229" s="1"/>
      <c r="I229" s="9"/>
      <c r="J229" s="1"/>
      <c r="K229" s="44"/>
      <c r="L229" s="2"/>
      <c r="M229" s="1"/>
      <c r="N229" s="2"/>
      <c r="O229" s="3"/>
      <c r="P229" s="1"/>
    </row>
    <row r="230" spans="1:16">
      <c r="A230" s="1" t="s">
        <v>1010</v>
      </c>
      <c r="B230" s="1" t="s">
        <v>1</v>
      </c>
      <c r="C230" s="1" t="s">
        <v>570</v>
      </c>
      <c r="D230" s="1" t="s">
        <v>1011</v>
      </c>
      <c r="E230" s="39" t="s">
        <v>1012</v>
      </c>
      <c r="F230" s="1" t="s">
        <v>1013</v>
      </c>
      <c r="G230" s="39">
        <v>6</v>
      </c>
      <c r="H230" s="39">
        <v>71</v>
      </c>
      <c r="I230" s="9">
        <f t="shared" si="5"/>
        <v>77</v>
      </c>
      <c r="J230" s="1">
        <v>3.82</v>
      </c>
      <c r="K230" s="21" t="s">
        <v>1014</v>
      </c>
      <c r="L230" s="2">
        <v>46125</v>
      </c>
      <c r="M230" s="1" t="s">
        <v>230</v>
      </c>
      <c r="N230" s="2">
        <v>46125</v>
      </c>
      <c r="O230" s="3">
        <f>NETWORKDAYS(L230,N230,[1]Holidays!$B$2:$B$16)</f>
        <v>1</v>
      </c>
      <c r="P230" s="1" t="s">
        <v>1015</v>
      </c>
    </row>
    <row r="231" spans="1:16">
      <c r="A231" s="1" t="s">
        <v>1016</v>
      </c>
      <c r="B231" s="1" t="s">
        <v>1</v>
      </c>
      <c r="C231" s="1" t="s">
        <v>216</v>
      </c>
      <c r="D231" s="1" t="s">
        <v>1017</v>
      </c>
      <c r="E231" s="39" t="s">
        <v>1018</v>
      </c>
      <c r="F231" s="1" t="s">
        <v>219</v>
      </c>
      <c r="G231" s="39">
        <v>3</v>
      </c>
      <c r="H231" s="39">
        <v>23</v>
      </c>
      <c r="I231" s="9">
        <f t="shared" si="5"/>
        <v>26</v>
      </c>
      <c r="J231" s="1">
        <v>3.82</v>
      </c>
      <c r="K231" s="44" t="s">
        <v>1019</v>
      </c>
      <c r="L231" s="2">
        <v>46126</v>
      </c>
      <c r="M231" s="1" t="s">
        <v>230</v>
      </c>
      <c r="N231" s="2">
        <v>46127</v>
      </c>
      <c r="O231" s="3">
        <f>NETWORKDAYS(L231,N231,[1]Holidays!$B$2:$B$16)</f>
        <v>2</v>
      </c>
      <c r="P231" s="1" t="s">
        <v>1020</v>
      </c>
    </row>
    <row r="232" spans="1:16">
      <c r="A232" s="1" t="s">
        <v>1021</v>
      </c>
      <c r="B232" s="1" t="s">
        <v>1</v>
      </c>
      <c r="C232" s="1" t="s">
        <v>986</v>
      </c>
      <c r="D232" s="1" t="s">
        <v>1022</v>
      </c>
      <c r="E232" s="39" t="s">
        <v>1023</v>
      </c>
      <c r="F232" s="1" t="s">
        <v>1024</v>
      </c>
      <c r="G232" s="1">
        <v>6</v>
      </c>
      <c r="H232" s="1">
        <v>12</v>
      </c>
      <c r="I232" s="9">
        <v>18</v>
      </c>
      <c r="J232" s="1">
        <v>3.54</v>
      </c>
      <c r="K232" s="39" t="s">
        <v>1025</v>
      </c>
      <c r="L232" s="2">
        <v>46126</v>
      </c>
      <c r="M232" s="18" t="s">
        <v>230</v>
      </c>
      <c r="N232" s="2">
        <v>46126</v>
      </c>
      <c r="O232" s="3">
        <v>1</v>
      </c>
      <c r="P232" s="1" t="s">
        <v>752</v>
      </c>
    </row>
    <row r="233" spans="1:16">
      <c r="A233" s="1" t="s">
        <v>1026</v>
      </c>
      <c r="B233" s="1" t="s">
        <v>1</v>
      </c>
      <c r="C233" s="1" t="s">
        <v>133</v>
      </c>
      <c r="D233" s="1" t="s">
        <v>1027</v>
      </c>
      <c r="E233" s="39" t="s">
        <v>1028</v>
      </c>
      <c r="F233" s="1" t="s">
        <v>1029</v>
      </c>
      <c r="G233" s="39">
        <v>13</v>
      </c>
      <c r="H233" s="39">
        <v>13</v>
      </c>
      <c r="I233" s="9">
        <f t="shared" si="5"/>
        <v>26</v>
      </c>
      <c r="J233" s="1">
        <v>3.73</v>
      </c>
      <c r="K233" s="23" t="s">
        <v>1030</v>
      </c>
      <c r="L233" s="2">
        <v>46126</v>
      </c>
      <c r="M233" s="18" t="s">
        <v>230</v>
      </c>
      <c r="N233" s="2">
        <v>46126</v>
      </c>
      <c r="O233" s="3">
        <f>NETWORKDAYS(L233,N233,[1]Holidays!$B$2:$B$16)</f>
        <v>1</v>
      </c>
      <c r="P233" s="1" t="s">
        <v>1020</v>
      </c>
    </row>
    <row r="234" spans="1:16">
      <c r="A234" s="1"/>
      <c r="B234" s="1"/>
      <c r="C234" s="1"/>
      <c r="D234" s="1"/>
      <c r="E234" s="39"/>
      <c r="F234" s="1"/>
      <c r="G234" s="39"/>
      <c r="H234" s="39"/>
      <c r="I234" s="9"/>
      <c r="J234" s="1"/>
      <c r="K234" s="23"/>
      <c r="L234" s="2"/>
      <c r="M234" s="18"/>
      <c r="N234" s="2"/>
      <c r="O234" s="3"/>
      <c r="P234" s="1"/>
    </row>
    <row r="235" spans="1:16">
      <c r="A235" s="1" t="s">
        <v>1031</v>
      </c>
      <c r="B235" s="1" t="s">
        <v>1</v>
      </c>
      <c r="C235" s="1" t="s">
        <v>238</v>
      </c>
      <c r="D235" s="1" t="s">
        <v>1032</v>
      </c>
      <c r="E235" s="39" t="s">
        <v>1033</v>
      </c>
      <c r="F235" s="1" t="s">
        <v>1007</v>
      </c>
      <c r="G235" s="39">
        <v>2</v>
      </c>
      <c r="H235" s="39">
        <v>18</v>
      </c>
      <c r="I235" s="9">
        <f t="shared" si="5"/>
        <v>20</v>
      </c>
      <c r="J235" s="1">
        <v>3.82</v>
      </c>
      <c r="K235" s="44" t="s">
        <v>1034</v>
      </c>
      <c r="L235" s="2">
        <v>46132</v>
      </c>
      <c r="M235" s="1" t="s">
        <v>230</v>
      </c>
      <c r="N235" s="2">
        <v>46134</v>
      </c>
      <c r="O235" s="3">
        <f>NETWORKDAYS(L235,N235,[1]Holidays!$B$2:$B$16)</f>
        <v>3</v>
      </c>
      <c r="P235" s="1" t="s">
        <v>7</v>
      </c>
    </row>
    <row r="236" spans="1:16">
      <c r="A236" s="1" t="s">
        <v>1035</v>
      </c>
      <c r="B236" s="1" t="s">
        <v>254</v>
      </c>
      <c r="C236" s="1" t="s">
        <v>1004</v>
      </c>
      <c r="D236" s="1" t="s">
        <v>1036</v>
      </c>
      <c r="E236" s="39" t="s">
        <v>1037</v>
      </c>
      <c r="F236" s="1" t="s">
        <v>1038</v>
      </c>
      <c r="G236" s="21"/>
      <c r="H236" s="21"/>
      <c r="I236" s="9">
        <v>160</v>
      </c>
      <c r="J236" s="1">
        <v>3.63</v>
      </c>
      <c r="K236" s="21" t="s">
        <v>1039</v>
      </c>
      <c r="L236" s="2">
        <v>46134</v>
      </c>
      <c r="M236" s="1" t="s">
        <v>230</v>
      </c>
      <c r="N236" s="2">
        <v>46134</v>
      </c>
      <c r="O236" s="3">
        <f>NETWORKDAYS(L236,N236,[1]Holidays!$B$2:$B$16)</f>
        <v>1</v>
      </c>
      <c r="P236" s="1" t="s">
        <v>1040</v>
      </c>
    </row>
    <row r="237" spans="1:16">
      <c r="A237" s="1" t="s">
        <v>1041</v>
      </c>
      <c r="B237" s="1" t="s">
        <v>254</v>
      </c>
      <c r="C237" s="1" t="s">
        <v>133</v>
      </c>
      <c r="D237" s="1" t="s">
        <v>1042</v>
      </c>
      <c r="E237" s="39" t="s">
        <v>1043</v>
      </c>
      <c r="F237" s="1" t="s">
        <v>1044</v>
      </c>
      <c r="G237" s="39">
        <v>57</v>
      </c>
      <c r="H237" s="39">
        <v>108</v>
      </c>
      <c r="I237" s="9">
        <v>165</v>
      </c>
      <c r="J237" s="1">
        <v>2.73</v>
      </c>
      <c r="K237" s="39" t="s">
        <v>1045</v>
      </c>
      <c r="L237" s="2">
        <v>46140</v>
      </c>
      <c r="M237" s="1" t="s">
        <v>230</v>
      </c>
      <c r="N237" s="2">
        <v>46141</v>
      </c>
      <c r="O237" s="3">
        <f>NETWORKDAYS(L237,N237,[1]Holidays!$B$2:$B$16)</f>
        <v>2</v>
      </c>
      <c r="P237" s="1"/>
    </row>
    <row r="238" spans="1:16">
      <c r="A238" s="1" t="s">
        <v>1046</v>
      </c>
      <c r="B238" s="1" t="s">
        <v>254</v>
      </c>
      <c r="C238" s="1" t="s">
        <v>50</v>
      </c>
      <c r="D238" s="1" t="s">
        <v>1047</v>
      </c>
      <c r="E238" s="39" t="s">
        <v>1048</v>
      </c>
      <c r="F238" s="1" t="s">
        <v>1049</v>
      </c>
      <c r="G238" s="21"/>
      <c r="H238" s="21"/>
      <c r="I238" s="9">
        <v>125</v>
      </c>
      <c r="J238" s="1">
        <v>3.82</v>
      </c>
      <c r="K238" s="44" t="s">
        <v>1050</v>
      </c>
      <c r="L238" s="2">
        <v>46141</v>
      </c>
      <c r="M238" s="1" t="s">
        <v>230</v>
      </c>
      <c r="N238" s="2">
        <v>46141</v>
      </c>
      <c r="O238" s="3">
        <f>NETWORKDAYS(L238,N238,[1]Holidays!$B$2:$B$16)</f>
        <v>1</v>
      </c>
      <c r="P238" s="1" t="s">
        <v>7</v>
      </c>
    </row>
  </sheetData>
  <conditionalFormatting sqref="O1:O238">
    <cfRule type="cellIs" dxfId="0" priority="1" operator="greaterThan">
      <formula>3</formula>
    </cfRule>
  </conditionalFormatting>
  <dataValidations count="5">
    <dataValidation type="list" allowBlank="1" showInputMessage="1" showErrorMessage="1" sqref="M72" xr:uid="{A4C39429-BB0E-4915-AF3B-1A590257F3DD}">
      <formula1>$AL$78:$AL$85</formula1>
    </dataValidation>
    <dataValidation type="date" allowBlank="1" showInputMessage="1" showErrorMessage="1" sqref="L1:L238" xr:uid="{8557AA63-FE50-4C52-B83B-238CB5B505E5}">
      <formula1>46023</formula1>
      <formula2>46387</formula2>
    </dataValidation>
    <dataValidation type="list" allowBlank="1" showInputMessage="1" showErrorMessage="1" sqref="M1:M71 M73:M238" xr:uid="{A74F7B60-2AFB-4394-933D-FCEF5884DBA0}">
      <formula1>$AL$78:$AL$84</formula1>
    </dataValidation>
    <dataValidation type="list" allowBlank="1" showInputMessage="1" showErrorMessage="1" sqref="B1:B238" xr:uid="{F44D820D-24E1-4C53-8E15-F02D78C21092}">
      <formula1>$AL$1:$AL$5</formula1>
    </dataValidation>
    <dataValidation type="list" allowBlank="1" showInputMessage="1" showErrorMessage="1" sqref="C1:C238" xr:uid="{5DC617ED-7275-40E1-995C-56D746494B9E}">
      <formula1>$AL$9:$AL$75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Renz Domingo</dc:creator>
  <cp:lastModifiedBy>Nathaniel Renz Domingo</cp:lastModifiedBy>
  <dcterms:created xsi:type="dcterms:W3CDTF">2026-05-06T04:12:15Z</dcterms:created>
  <dcterms:modified xsi:type="dcterms:W3CDTF">2026-05-06T04:13:03Z</dcterms:modified>
</cp:coreProperties>
</file>